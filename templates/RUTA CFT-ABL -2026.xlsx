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B4471384-CCBC-42F4-ACE5-5288FF6073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W33" i="1" l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D20" i="1"/>
  <c r="K43" i="1"/>
  <c r="K47" i="1" l="1"/>
</calcChain>
</file>

<file path=xl/sharedStrings.xml><?xml version="1.0" encoding="utf-8"?>
<sst xmlns="http://schemas.openxmlformats.org/spreadsheetml/2006/main" count="134" uniqueCount="103">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</sst>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3" fontId="5" fillId="0" borderId="0" xfId="0" applyNumberFormat="1" applyFont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29" zoomScale="85" zoomScaleNormal="85" workbookViewId="0">
      <pane xSplit="1" topLeftCell="M1" activePane="topRight" state="frozenSplit"/>
      <selection activeCell="A49" sqref="A49"/>
      <selection pane="topRight" activeCell="O42" sqref="O42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76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75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78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77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 t="s">
        <v>79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 t="s">
        <v>97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 t="s">
        <v>98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 t="s">
        <v>64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 t="s">
        <v>65</v>
      </c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 t="s">
        <v>66</v>
      </c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 t="s">
        <v>67</v>
      </c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 t="s">
        <v>68</v>
      </c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 t="s">
        <v>69</v>
      </c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 t="s">
        <v>70</v>
      </c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8" t="s">
        <v>63</v>
      </c>
      <c r="O23" s="189"/>
      <c r="P23" s="189"/>
      <c r="Q23" s="189"/>
      <c r="R23" s="189"/>
      <c r="S23" s="190"/>
      <c r="T23" s="142" t="s">
        <v>38</v>
      </c>
      <c r="U23" s="115" t="s">
        <v>77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 t="s">
        <v>79</v>
      </c>
      <c r="W24" s="141" t="s">
        <v>77</v>
      </c>
    </row>
    <row r="25" spans="1:23" x14ac:dyDescent="0.3">
      <c r="B25" s="2"/>
      <c r="C25" s="111"/>
      <c r="D25" s="3" t="s">
        <v>15</v>
      </c>
      <c r="E25" s="4"/>
      <c r="J25"/>
      <c r="L25"/>
      <c r="M25" s="196" t="s">
        <v>16</v>
      </c>
      <c r="N25" s="197"/>
      <c r="O25" s="198"/>
      <c r="P25" s="199"/>
      <c r="Q25" s="175" t="s">
        <v>97</v>
      </c>
      <c r="R25" s="176"/>
      <c r="S25" s="177"/>
      <c r="T25" s="194" t="s">
        <v>17</v>
      </c>
      <c r="U25" s="195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5" t="s">
        <v>98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  <v>{{extraction.conductor.valor}}</v>
      </c>
      <c r="J27" s="162" t="str">
        <f>B9</f>
        <v>{{extraction.rendicion.detalles_cheques.total_billetes.valor}}</v>
      </c>
      <c r="L27"/>
      <c r="M27" s="83" t="s">
        <v>18</v>
      </c>
      <c r="N27" s="84"/>
      <c r="O27" s="178"/>
      <c r="P27" s="179"/>
      <c r="Q27" s="175" t="s">
        <v>64</v>
      </c>
      <c r="R27" s="176"/>
      <c r="S27" s="177"/>
      <c r="T27" s="186" t="s">
        <v>19</v>
      </c>
      <c r="U27" s="187"/>
      <c r="V27" s="19"/>
      <c r="W27" s="97" t="s">
        <v>79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 t="s">
        <v>65</v>
      </c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 t="s">
        <v>66</v>
      </c>
      <c r="R29" s="176"/>
      <c r="S29" s="177"/>
      <c r="T29" s="180" t="s">
        <v>40</v>
      </c>
      <c r="U29" s="181"/>
      <c r="W29" s="98" t="str">
        <f>U23</f>
        <v>{{extraction.cant_fact.valor}}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200"/>
      <c r="Q30" s="175" t="s">
        <v>67</v>
      </c>
      <c r="R30" s="176"/>
      <c r="S30" s="177"/>
      <c r="T30" s="201" t="s">
        <v>41</v>
      </c>
      <c r="U30" s="202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 t="s">
        <v>68</v>
      </c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 t="s">
        <v>69</v>
      </c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 t="s">
        <v>70</v>
      </c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175" t="s">
        <v>71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2" t="s">
        <v>27</v>
      </c>
      <c r="N35" s="213"/>
      <c r="O35" s="214"/>
      <c r="P35" s="204" t="s">
        <v>28</v>
      </c>
      <c r="Q35" s="205"/>
      <c r="R35" s="204" t="s">
        <v>29</v>
      </c>
      <c r="S35" s="205"/>
      <c r="T35" s="204" t="s">
        <v>30</v>
      </c>
      <c r="U35" s="205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80</v>
      </c>
      <c r="N37" s="38" t="s">
        <v>81</v>
      </c>
      <c r="O37" s="39" t="s">
        <v>82</v>
      </c>
      <c r="P37" s="40" t="s">
        <v>83</v>
      </c>
      <c r="Q37" s="81" t="s">
        <v>84</v>
      </c>
      <c r="R37" s="41" t="s">
        <v>85</v>
      </c>
      <c r="S37" s="82" t="s">
        <v>86</v>
      </c>
      <c r="T37" s="42" t="s">
        <v>87</v>
      </c>
      <c r="U37" s="78" t="s">
        <v>88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10" t="s">
        <v>42</v>
      </c>
      <c r="N38" s="211"/>
      <c r="O38" s="46" t="s">
        <v>64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s">
        <v>100</v>
      </c>
      <c r="N39" s="38" t="s">
        <v>101</v>
      </c>
      <c r="O39" s="39" t="s">
        <v>102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3"/>
      <c r="E43" s="20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3"/>
      <c r="E44" s="20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3"/>
      <c r="E45" s="20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3"/>
      <c r="E46" s="20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3"/>
      <c r="E47" s="20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3"/>
      <c r="E48" s="20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3"/>
      <c r="E49" s="20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23"/>
      <c r="E51" s="223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9"/>
      <c r="E52" s="229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20"/>
      <c r="E53" s="220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20"/>
      <c r="E54" s="220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20"/>
      <c r="E60" s="220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20"/>
      <c r="E64" s="220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20"/>
      <c r="E65" s="220"/>
      <c r="F65" s="20"/>
      <c r="G65" s="1"/>
      <c r="H65" s="50"/>
      <c r="I65" s="54"/>
      <c r="J65" s="57"/>
      <c r="L65"/>
      <c r="M65" s="210" t="s">
        <v>34</v>
      </c>
      <c r="N65" s="211"/>
      <c r="O65" s="46" t="s">
        <v>65</v>
      </c>
      <c r="P65" s="56" t="s">
        <v>11</v>
      </c>
      <c r="Q65" s="46" t="s">
        <v>72</v>
      </c>
      <c r="R65" s="56" t="s">
        <v>11</v>
      </c>
      <c r="S65" s="46" t="s">
        <v>73</v>
      </c>
      <c r="T65" s="56" t="s">
        <v>11</v>
      </c>
      <c r="U65" s="46" t="s">
        <v>74</v>
      </c>
    </row>
    <row r="66" spans="1:23" ht="15" thickBot="1" x14ac:dyDescent="0.35">
      <c r="A66" s="25"/>
      <c r="B66"/>
      <c r="C66" s="95"/>
      <c r="D66" s="220"/>
      <c r="E66" s="220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204" t="s">
        <v>47</v>
      </c>
      <c r="N67" s="219"/>
      <c r="O67" s="205"/>
      <c r="P67" s="221"/>
      <c r="Q67" s="222"/>
      <c r="R67" s="204" t="s">
        <v>37</v>
      </c>
      <c r="S67" s="219"/>
      <c r="T67" s="215" t="str">
        <f>Q25</f>
        <v>{{extraction.rendicion.detalles_cheques.total_billetes.valor}}</v>
      </c>
      <c r="U67" s="216"/>
    </row>
    <row r="68" spans="1:23" ht="15.75" customHeight="1" thickBot="1" x14ac:dyDescent="0.35">
      <c r="A68" s="25"/>
      <c r="B68"/>
      <c r="C68" s="25"/>
      <c r="D68" s="220"/>
      <c r="E68" s="220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20"/>
      <c r="E69" s="220"/>
      <c r="F69" s="67"/>
      <c r="G69" s="1"/>
      <c r="H69" s="50"/>
      <c r="I69" s="54"/>
      <c r="J69"/>
      <c r="L69"/>
      <c r="M69" s="210" t="s">
        <v>35</v>
      </c>
      <c r="N69" s="217"/>
      <c r="O69" s="217"/>
      <c r="P69" s="217"/>
      <c r="Q69" s="217"/>
      <c r="R69" s="217"/>
      <c r="S69" s="217"/>
      <c r="T69" s="217"/>
      <c r="U69" s="218"/>
      <c r="V69" s="55"/>
    </row>
    <row r="70" spans="1:23" ht="15" thickBot="1" x14ac:dyDescent="0.35">
      <c r="A70" s="25"/>
      <c r="B70" s="20"/>
      <c r="C70" s="25"/>
      <c r="D70" s="220"/>
      <c r="E70" s="220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20"/>
      <c r="E71" s="220"/>
      <c r="F71" s="67"/>
      <c r="G71" s="1"/>
      <c r="H71" s="50"/>
      <c r="I71" s="54"/>
      <c r="J71" s="23"/>
      <c r="L71"/>
      <c r="M71" s="63" t="s">
        <v>89</v>
      </c>
      <c r="N71" s="64"/>
      <c r="O71" s="169" t="s">
        <v>43</v>
      </c>
      <c r="P71" s="66" t="s">
        <v>90</v>
      </c>
      <c r="Q71" s="65"/>
      <c r="R71" s="228" t="s">
        <v>6</v>
      </c>
      <c r="S71" s="228"/>
      <c r="T71" s="159" t="s">
        <v>91</v>
      </c>
      <c r="U71" s="160"/>
      <c r="V71" s="55" t="s">
        <v>92</v>
      </c>
    </row>
    <row r="72" spans="1:23" ht="15.6" x14ac:dyDescent="0.3">
      <c r="B72" s="55"/>
      <c r="C72" s="94"/>
      <c r="D72" s="220"/>
      <c r="E72" s="220"/>
      <c r="F72" s="67"/>
      <c r="I72" s="130"/>
      <c r="L72"/>
      <c r="M72" s="89"/>
      <c r="N72" s="90"/>
      <c r="O72" s="18"/>
      <c r="P72" s="91"/>
      <c r="Q72" s="60"/>
      <c r="R72" s="226"/>
      <c r="S72" s="226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93</v>
      </c>
      <c r="M73" s="89" t="s">
        <v>94</v>
      </c>
      <c r="N73" s="90"/>
      <c r="O73" s="18" t="s">
        <v>43</v>
      </c>
      <c r="P73" s="91" t="s">
        <v>95</v>
      </c>
      <c r="Q73" s="60"/>
      <c r="R73" s="226" t="s">
        <v>10</v>
      </c>
      <c r="S73" s="226"/>
      <c r="T73" s="69" t="s">
        <v>96</v>
      </c>
      <c r="U73" s="100" t="s">
        <v>99</v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6"/>
      <c r="S74" s="226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7"/>
      <c r="S75" s="227"/>
      <c r="T75" s="224"/>
      <c r="U75" s="225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4"/>
      <c r="U76" s="225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2"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  <mergeCell ref="M69:U69"/>
    <mergeCell ref="R67:S67"/>
    <mergeCell ref="D68:E68"/>
    <mergeCell ref="D70:E70"/>
    <mergeCell ref="P67:Q67"/>
    <mergeCell ref="D69:E69"/>
    <mergeCell ref="M67:O67"/>
    <mergeCell ref="M35:O35"/>
    <mergeCell ref="D44:E44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25:N25"/>
    <mergeCell ref="O25:P25"/>
    <mergeCell ref="Q25:S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2026-06-25T17:06:14Z</dcterms:modified>
</cp:coreProperties>
</file>