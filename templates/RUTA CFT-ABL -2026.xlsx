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4A5A2FE6-1569-4076-B559-FA7ED3CBDF5F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K37" i="1" l="1"/>
  <c r="J37" i="1" l="1"/>
  <c r="J36" i="1"/>
  <c r="J35" i="1"/>
  <c r="J34" i="1"/>
  <c r="J33" i="1"/>
  <c r="T18" i="1" l="1"/>
  <c r="T20" i="1" s="1"/>
  <c r="P18" i="1"/>
  <c r="P20" i="1" s="1"/>
  <c r="R18" i="1"/>
  <c r="R20" i="1" s="1"/>
  <c r="T67" i="1" l="1"/>
  <c r="J32" i="1" l="1"/>
  <c r="J31" i="1"/>
  <c r="J30" i="1"/>
  <c r="J29" i="1"/>
  <c r="J28" i="1"/>
  <c r="J27" i="1"/>
  <c r="I37" i="1" l="1"/>
  <c r="I36" i="1"/>
  <c r="I35" i="1"/>
  <c r="I34" i="1"/>
  <c r="I33" i="1"/>
  <c r="I32" i="1"/>
  <c r="I31" i="1"/>
  <c r="I30" i="1"/>
  <c r="I29" i="1"/>
  <c r="I28" i="1"/>
  <c r="I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S20" i="1"/>
  <c r="F18" i="1"/>
  <c r="F20" i="1" s="1"/>
  <c r="K39" i="1" l="1"/>
  <c r="V18" i="1"/>
  <c r="V20" i="1" s="1"/>
  <c r="N18" i="1"/>
  <c r="N20" i="1" s="1"/>
  <c r="L18" i="1"/>
  <c r="L20" i="1" s="1"/>
  <c r="H18" i="1"/>
  <c r="H20" i="1" s="1"/>
  <c r="D18" i="1"/>
  <c r="W30" i="1" l="1"/>
  <c r="W33" i="1" s="1"/>
  <c r="D20" i="1"/>
  <c r="K43" i="1"/>
  <c r="K47" i="1" l="1"/>
</calcChain>
</file>

<file path=xl/sharedStrings.xml><?xml version="1.0" encoding="utf-8"?>
<sst xmlns="http://schemas.openxmlformats.org/spreadsheetml/2006/main" count="136" uniqueCount="107">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</sst>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42" fontId="6" fillId="0" borderId="0" xfId="2" applyFont="1" applyBorder="1" applyAlignment="1"/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G11" sqref="G11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s">
        <v>100</v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101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 t="s">
        <v>102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s">
        <v>103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s">
        <v>104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t="s">
        <v>105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 t="s">
        <v>106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 t="s">
        <v>94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 t="s">
        <v>95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 t="s">
        <v>64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 t="s">
        <v>65</v>
      </c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 t="s">
        <v>66</v>
      </c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 t="s">
        <v>67</v>
      </c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 t="s">
        <v>68</v>
      </c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 t="s">
        <v>69</v>
      </c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 t="s">
        <v>70</v>
      </c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5" t="s">
        <v>48</v>
      </c>
      <c r="N22" s="215"/>
      <c r="O22" s="215"/>
      <c r="P22" s="215"/>
      <c r="Q22" s="215"/>
      <c r="R22" s="215"/>
      <c r="S22" s="215"/>
      <c r="T22" s="215"/>
      <c r="U22" s="215"/>
    </row>
    <row r="23" spans="1:23" ht="16.2" thickBot="1" x14ac:dyDescent="0.35">
      <c r="D23" s="6"/>
      <c r="J23"/>
      <c r="L23"/>
      <c r="M23" s="14" t="s">
        <v>13</v>
      </c>
      <c r="N23" s="222" t="s">
        <v>63</v>
      </c>
      <c r="O23" s="223"/>
      <c r="P23" s="223"/>
      <c r="Q23" s="223"/>
      <c r="R23" s="223"/>
      <c r="S23" s="224"/>
      <c r="T23" s="142" t="s">
        <v>38</v>
      </c>
      <c r="U23" s="115" t="s">
        <v>75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5" t="s">
        <v>49</v>
      </c>
      <c r="O24" s="226"/>
      <c r="P24" s="226"/>
      <c r="Q24" s="226"/>
      <c r="R24" s="226"/>
      <c r="S24" s="227"/>
      <c r="T24" s="117" t="s">
        <v>11</v>
      </c>
      <c r="U24" s="116" t="s">
        <v>76</v>
      </c>
      <c r="W24" s="141" t="s">
        <v>75</v>
      </c>
    </row>
    <row r="25" spans="1:23" x14ac:dyDescent="0.3">
      <c r="B25" s="2"/>
      <c r="C25" s="111"/>
      <c r="D25" s="3" t="s">
        <v>15</v>
      </c>
      <c r="E25" s="4"/>
      <c r="J25"/>
      <c r="L25"/>
      <c r="M25" s="210" t="s">
        <v>16</v>
      </c>
      <c r="N25" s="211"/>
      <c r="O25" s="212"/>
      <c r="P25" s="213"/>
      <c r="Q25" s="201" t="s">
        <v>94</v>
      </c>
      <c r="R25" s="202"/>
      <c r="S25" s="203"/>
      <c r="T25" s="228" t="s">
        <v>17</v>
      </c>
      <c r="U25" s="229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201" t="s">
        <v>95</v>
      </c>
      <c r="R26" s="202"/>
      <c r="S26" s="203"/>
      <c r="T26" s="149"/>
      <c r="U26" s="150"/>
      <c r="V26" s="13"/>
      <c r="W26" s="86"/>
    </row>
    <row r="27" spans="1:23" x14ac:dyDescent="0.3">
      <c r="I27" s="118" t="str">
        <f>B1</f>
        <v>{{extraction._meta.bitacora.excel.conductor}}</v>
      </c>
      <c r="J27" s="162" t="str">
        <f>B9</f>
        <v>{{extraction.rendicion.detalles_cheques.total_billetes.valor}}</v>
      </c>
      <c r="L27"/>
      <c r="M27" s="83" t="s">
        <v>18</v>
      </c>
      <c r="N27" s="84"/>
      <c r="O27" s="194"/>
      <c r="P27" s="195"/>
      <c r="Q27" s="201" t="s">
        <v>64</v>
      </c>
      <c r="R27" s="202"/>
      <c r="S27" s="203"/>
      <c r="T27" s="220" t="s">
        <v>19</v>
      </c>
      <c r="U27" s="221"/>
      <c r="V27" s="19"/>
      <c r="W27" s="97" t="s">
        <v>76</v>
      </c>
    </row>
    <row r="28" spans="1:23" x14ac:dyDescent="0.3">
      <c r="I28" s="118">
        <f>C1</f>
        <v>0</v>
      </c>
      <c r="J28" s="162">
        <f>C9</f>
        <v>0</v>
      </c>
      <c r="L28"/>
      <c r="M28" s="208" t="s">
        <v>20</v>
      </c>
      <c r="N28" s="209"/>
      <c r="O28" s="194"/>
      <c r="P28" s="195"/>
      <c r="Q28" s="201" t="s">
        <v>65</v>
      </c>
      <c r="R28" s="202"/>
      <c r="S28" s="203"/>
      <c r="T28" s="218" t="s">
        <v>39</v>
      </c>
      <c r="U28" s="219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208" t="s">
        <v>21</v>
      </c>
      <c r="N29" s="209"/>
      <c r="O29" s="194"/>
      <c r="P29" s="195"/>
      <c r="Q29" s="201" t="s">
        <v>66</v>
      </c>
      <c r="R29" s="202"/>
      <c r="S29" s="203"/>
      <c r="T29" s="216" t="s">
        <v>40</v>
      </c>
      <c r="U29" s="217"/>
      <c r="W29" s="98" t="str">
        <f>U23</f>
        <v>{{extraction.cant_fact.valor}}</v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208" t="s">
        <v>22</v>
      </c>
      <c r="N30" s="209"/>
      <c r="O30" s="194"/>
      <c r="P30" s="214"/>
      <c r="Q30" s="201" t="s">
        <v>67</v>
      </c>
      <c r="R30" s="202"/>
      <c r="S30" s="203"/>
      <c r="T30" s="199" t="s">
        <v>41</v>
      </c>
      <c r="U30" s="200"/>
      <c r="V30" s="24"/>
      <c r="W30" s="21" t="str">
        <f>Q34</f>
        <v>{{extraction.rendicion.total.valor}}</v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208" t="s">
        <v>23</v>
      </c>
      <c r="N31" s="209"/>
      <c r="O31" s="194"/>
      <c r="P31" s="195"/>
      <c r="Q31" s="201" t="s">
        <v>68</v>
      </c>
      <c r="R31" s="202"/>
      <c r="S31" s="203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208" t="s">
        <v>24</v>
      </c>
      <c r="N32" s="209"/>
      <c r="O32" s="194"/>
      <c r="P32" s="195"/>
      <c r="Q32" s="201" t="s">
        <v>69</v>
      </c>
      <c r="R32" s="202"/>
      <c r="S32" s="203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4"/>
      <c r="P33" s="195"/>
      <c r="Q33" s="201" t="s">
        <v>70</v>
      </c>
      <c r="R33" s="202"/>
      <c r="S33" s="203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4" t="s">
        <v>26</v>
      </c>
      <c r="N34" s="205"/>
      <c r="O34" s="206"/>
      <c r="P34" s="207"/>
      <c r="Q34" s="201" t="s">
        <v>71</v>
      </c>
      <c r="R34" s="202"/>
      <c r="S34" s="203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1" t="s">
        <v>27</v>
      </c>
      <c r="N35" s="192"/>
      <c r="O35" s="193"/>
      <c r="P35" s="186" t="s">
        <v>28</v>
      </c>
      <c r="Q35" s="190"/>
      <c r="R35" s="186" t="s">
        <v>29</v>
      </c>
      <c r="S35" s="190"/>
      <c r="T35" s="186" t="s">
        <v>30</v>
      </c>
      <c r="U35" s="190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s">
        <v>77</v>
      </c>
      <c r="N37" s="38" t="s">
        <v>78</v>
      </c>
      <c r="O37" s="39" t="s">
        <v>79</v>
      </c>
      <c r="P37" s="40" t="s">
        <v>80</v>
      </c>
      <c r="Q37" s="81" t="s">
        <v>81</v>
      </c>
      <c r="R37" s="41" t="s">
        <v>82</v>
      </c>
      <c r="S37" s="82" t="s">
        <v>83</v>
      </c>
      <c r="T37" s="42" t="s">
        <v>84</v>
      </c>
      <c r="U37" s="78" t="s">
        <v>85</v>
      </c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80" t="s">
        <v>42</v>
      </c>
      <c r="N38" s="181"/>
      <c r="O38" s="46" t="s">
        <v>64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 t="s">
        <v>97</v>
      </c>
      <c r="N39" s="38" t="s">
        <v>98</v>
      </c>
      <c r="O39" s="39" t="s">
        <v>99</v>
      </c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74"/>
      <c r="E43" s="174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74"/>
      <c r="E44" s="174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74"/>
      <c r="E45" s="174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74"/>
      <c r="E46" s="174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74"/>
      <c r="E47" s="174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74"/>
      <c r="E48" s="174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74"/>
      <c r="E49" s="174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98"/>
      <c r="E51" s="198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3"/>
      <c r="E52" s="183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2"/>
      <c r="E53" s="182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2"/>
      <c r="E54" s="182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2"/>
      <c r="E60" s="18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2"/>
      <c r="E64" s="18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2"/>
      <c r="E65" s="182"/>
      <c r="F65" s="20"/>
      <c r="G65" s="1"/>
      <c r="H65" s="50"/>
      <c r="I65" s="54"/>
      <c r="J65" s="57"/>
      <c r="L65"/>
      <c r="M65" s="180" t="s">
        <v>34</v>
      </c>
      <c r="N65" s="181"/>
      <c r="O65" s="46" t="s">
        <v>65</v>
      </c>
      <c r="P65" s="56" t="s">
        <v>11</v>
      </c>
      <c r="Q65" s="46" t="s">
        <v>72</v>
      </c>
      <c r="R65" s="56" t="s">
        <v>11</v>
      </c>
      <c r="S65" s="46" t="s">
        <v>73</v>
      </c>
      <c r="T65" s="56" t="s">
        <v>11</v>
      </c>
      <c r="U65" s="46" t="s">
        <v>74</v>
      </c>
    </row>
    <row r="66" spans="1:23" ht="15" thickBot="1" x14ac:dyDescent="0.35">
      <c r="A66" s="25"/>
      <c r="B66"/>
      <c r="C66" s="95"/>
      <c r="D66" s="182"/>
      <c r="E66" s="182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6" t="s">
        <v>47</v>
      </c>
      <c r="N67" s="187"/>
      <c r="O67" s="190"/>
      <c r="P67" s="188"/>
      <c r="Q67" s="189"/>
      <c r="R67" s="186" t="s">
        <v>37</v>
      </c>
      <c r="S67" s="187"/>
      <c r="T67" s="196" t="str">
        <f>Q25</f>
        <v>{{extraction.rendicion.detalles_cheques.total_billetes.valor}}</v>
      </c>
      <c r="U67" s="197"/>
    </row>
    <row r="68" spans="1:23" ht="15.75" customHeight="1" thickBot="1" x14ac:dyDescent="0.35">
      <c r="A68" s="25"/>
      <c r="B68"/>
      <c r="C68" s="25"/>
      <c r="D68" s="182"/>
      <c r="E68" s="182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2"/>
      <c r="E69" s="182"/>
      <c r="F69" s="67"/>
      <c r="G69" s="1"/>
      <c r="H69" s="50"/>
      <c r="I69" s="54"/>
      <c r="J69"/>
      <c r="L69"/>
      <c r="M69" s="180" t="s">
        <v>35</v>
      </c>
      <c r="N69" s="184"/>
      <c r="O69" s="184"/>
      <c r="P69" s="184"/>
      <c r="Q69" s="184"/>
      <c r="R69" s="184"/>
      <c r="S69" s="184"/>
      <c r="T69" s="184"/>
      <c r="U69" s="185"/>
      <c r="V69" s="55"/>
    </row>
    <row r="70" spans="1:23" ht="15" thickBot="1" x14ac:dyDescent="0.35">
      <c r="A70" s="25"/>
      <c r="B70" s="20"/>
      <c r="C70" s="25"/>
      <c r="D70" s="182"/>
      <c r="E70" s="182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2"/>
      <c r="E71" s="182"/>
      <c r="F71" s="67"/>
      <c r="G71" s="1"/>
      <c r="H71" s="50"/>
      <c r="I71" s="54"/>
      <c r="J71" s="23"/>
      <c r="L71"/>
      <c r="M71" s="63" t="s">
        <v>86</v>
      </c>
      <c r="N71" s="64"/>
      <c r="O71" s="169" t="s">
        <v>43</v>
      </c>
      <c r="P71" s="66" t="s">
        <v>87</v>
      </c>
      <c r="Q71" s="65"/>
      <c r="R71" s="179" t="s">
        <v>6</v>
      </c>
      <c r="S71" s="179"/>
      <c r="T71" s="159" t="s">
        <v>88</v>
      </c>
      <c r="U71" s="160"/>
      <c r="V71" s="55" t="s">
        <v>89</v>
      </c>
    </row>
    <row r="72" spans="1:23" ht="15.6" x14ac:dyDescent="0.3">
      <c r="B72" s="55"/>
      <c r="C72" s="94"/>
      <c r="D72" s="182"/>
      <c r="E72" s="182"/>
      <c r="F72" s="67"/>
      <c r="I72" s="130"/>
      <c r="L72"/>
      <c r="M72" s="89"/>
      <c r="N72" s="90"/>
      <c r="O72" s="18"/>
      <c r="P72" s="91"/>
      <c r="Q72" s="60"/>
      <c r="R72" s="177"/>
      <c r="S72" s="177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s">
        <v>90</v>
      </c>
      <c r="M73" s="89" t="s">
        <v>91</v>
      </c>
      <c r="N73" s="90"/>
      <c r="O73" s="18" t="s">
        <v>43</v>
      </c>
      <c r="P73" s="91" t="s">
        <v>92</v>
      </c>
      <c r="Q73" s="60"/>
      <c r="R73" s="177" t="s">
        <v>10</v>
      </c>
      <c r="S73" s="177"/>
      <c r="T73" s="69" t="s">
        <v>93</v>
      </c>
      <c r="U73" s="100" t="s">
        <v>96</v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7"/>
      <c r="S74" s="177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8"/>
      <c r="S75" s="178"/>
      <c r="T75" s="175"/>
      <c r="U75" s="176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5"/>
      <c r="U76" s="176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72"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25:P25"/>
    <mergeCell ref="Q25:S25"/>
    <mergeCell ref="O30:P30"/>
    <mergeCell ref="Q30:S30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38:N38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P67:Q67"/>
    <mergeCell ref="D69:E69"/>
    <mergeCell ref="M67:O67"/>
    <mergeCell ref="M35:O35"/>
    <mergeCell ref="D44:E44"/>
    <mergeCell ref="D46:E46"/>
    <mergeCell ref="T76:U76"/>
    <mergeCell ref="R74:S74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  <mergeCell ref="M69:U69"/>
    <mergeCell ref="R67:S67"/>
    <mergeCell ref="D68:E68"/>
    <mergeCell ref="D70:E70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2026-06-30T20:38:00Z</dcterms:modified>
</cp:coreProperties>
</file>