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1B92A672-E0C8-47DB-B814-E0CC3621B0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W33" i="1"/>
  <c r="Q26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W27" i="1" l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W24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D20" i="1"/>
  <c r="K43" i="1"/>
  <c r="K47" i="1" l="1"/>
</calcChain>
</file>

<file path=xl/sharedStrings.xml><?xml version="1.0" encoding="utf-8"?>
<sst xmlns="http://schemas.openxmlformats.org/spreadsheetml/2006/main" count="126" uniqueCount="100">
  <si>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</si>
  <si>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</si>
  <si>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</si>
  <si>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</si>
  <si>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</si>
  <si>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</si>
  <si>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</si>
  <si>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</si>
  <si>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</si>
  <si>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</si>
  <si>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</si>
  <si>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</si>
  <si>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</si>
  <si>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</si>
  <si>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</si>
  <si>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</si>
  <si>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</si>
  <si>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</si>
  <si>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</si>
  <si>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</si>
  <si>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</si>
  <si>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</si>
  <si>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</si>
  <si>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</si>
  <si>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</si>
  <si>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</si>
  <si>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</si>
  <si>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</si>
  <si>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</si>
  <si>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</si>
  <si>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</si>
  <si>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</si>
  <si>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</si>
  <si>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</si>
  <si>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</si>
  <si>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</si>
  <si>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</si>
  <si>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</si>
  <si>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</si>
  <si>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</si>
  <si>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</si>
  <si>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</si>
  <si>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</si>
  <si>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</si>
  <si>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</si>
  <si>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</si>
  <si>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</si>
  <si>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</si>
  <si>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</si>
  <si>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</si>
  <si>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</si>
  <si>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</si>
  <si>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</si>
  <si>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</si>
  <si>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</si>
  <si>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</si>
  <si>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</si>
  <si>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</si>
  <si>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</si>
  <si>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</si>
  <si>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</si>
  <si>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</si>
  <si>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</si>
  <si>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</si>
  <si>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{{extraction.rendicion.efectivo_total.valor}}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</si>
  <si>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</si>
  <si>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</si>
  <si>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</si>
  <si>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</si>
  <si>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</si>
  <si>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</si>
  <si>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</si>
  <si>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</si>
  <si>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</si>
  <si>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</si>
  <si>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</si>
  <si>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</si>
  <si>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</si>
  <si>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</si>
  <si>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</si>
  <si>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</si>
  <si>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</si>
  <si>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</si>
  <si>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</si>
  <si>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</si>
  <si>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</si>
  <si>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</si>
  <si>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</si>
  <si>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</si>
  <si>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</si>
  <si>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</si>
  <si>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</si>
  <si>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</si>
  <si>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</si>
  <si>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</si>
  <si>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</si>
  <si>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</si>
  <si>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</si>
  <si>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{{extraction.rendicion.cant_fact.valor}}</t>
  </si>
  <si>
    <t>{{extraction.rendicion.valor_total.valor}}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</si>
</sst>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46" zoomScale="85" zoomScaleNormal="85" workbookViewId="0">
      <pane xSplit="1" topLeftCell="M1" activePane="topRight" state="frozenSplit"/>
      <selection activeCell="A49" sqref="A49"/>
      <selection pane="topRight" activeCell="W30" sqref="W30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77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76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79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78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 t="s">
        <v>80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4" t="s">
        <v>64</v>
      </c>
      <c r="C9" s="175"/>
      <c r="D9" s="176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19"/>
      <c r="C10" s="110"/>
      <c r="D10" s="110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4" t="s">
        <v>65</v>
      </c>
      <c r="C11" s="175"/>
      <c r="D11" s="176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4" t="s">
        <v>66</v>
      </c>
      <c r="C12" s="175"/>
      <c r="D12" s="176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4" t="s">
        <v>67</v>
      </c>
      <c r="C13" s="175"/>
      <c r="D13" s="176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4" t="s">
        <v>68</v>
      </c>
      <c r="C14" s="175"/>
      <c r="D14" s="176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4" t="s">
        <v>69</v>
      </c>
      <c r="C15" s="175"/>
      <c r="D15" s="176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4" t="s">
        <v>70</v>
      </c>
      <c r="C16" s="175"/>
      <c r="D16" s="176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4" t="s">
        <v>71</v>
      </c>
      <c r="C17" s="175"/>
      <c r="D17" s="176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B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3" t="s">
        <v>48</v>
      </c>
      <c r="N22" s="173"/>
      <c r="O22" s="173"/>
      <c r="P22" s="173"/>
      <c r="Q22" s="173"/>
      <c r="R22" s="173"/>
      <c r="S22" s="173"/>
      <c r="T22" s="173"/>
      <c r="U22" s="173"/>
    </row>
    <row r="23" spans="1:23" ht="16.2" thickBot="1" x14ac:dyDescent="0.35">
      <c r="D23" s="6"/>
      <c r="J23"/>
      <c r="L23"/>
      <c r="M23" s="14" t="s">
        <v>13</v>
      </c>
      <c r="N23" s="189" t="s">
        <v>63</v>
      </c>
      <c r="O23" s="190"/>
      <c r="P23" s="190"/>
      <c r="Q23" s="190"/>
      <c r="R23" s="190"/>
      <c r="S23" s="191"/>
      <c r="T23" s="142" t="s">
        <v>38</v>
      </c>
      <c r="U23" s="115" t="s">
        <v>98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2" t="s">
        <v>49</v>
      </c>
      <c r="O24" s="193"/>
      <c r="P24" s="193"/>
      <c r="Q24" s="193"/>
      <c r="R24" s="193"/>
      <c r="S24" s="194"/>
      <c r="T24" s="117" t="s">
        <v>11</v>
      </c>
      <c r="U24" s="116" t="s">
        <v>99</v>
      </c>
      <c r="W24" s="141" t="str">
        <f>U23</f>
        <v>{{extraction.rendicion.cant_fact.valor}}</v>
      </c>
    </row>
    <row r="25" spans="1:23" x14ac:dyDescent="0.3">
      <c r="B25" s="2"/>
      <c r="C25" s="111"/>
      <c r="D25" s="3" t="s">
        <v>15</v>
      </c>
      <c r="E25" s="4"/>
      <c r="J25"/>
      <c r="L25"/>
      <c r="M25" s="195" t="s">
        <v>16</v>
      </c>
      <c r="N25" s="196"/>
      <c r="O25" s="197"/>
      <c r="P25" s="198"/>
      <c r="Q25" s="174" t="s">
        <v>64</v>
      </c>
      <c r="R25" s="175"/>
      <c r="S25" s="176"/>
      <c r="T25" s="171" t="s">
        <v>17</v>
      </c>
      <c r="U25" s="172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 t="e">
        <f>B10+C10+D10+E10+F10+G10+H10+I10+J10+K10+L10+N10+O10+P10+Q10+R10+S10+T10+U10+V10+W10+#REF!+#REF!</f>
        <v>#REF!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  <v>{{extraction.conductor.valor}}</v>
      </c>
      <c r="J27" s="162" t="str">
        <f>B9</f>
        <v>{{extraction.rendicion.efectivo_total.valor}}</v>
      </c>
      <c r="L27"/>
      <c r="M27" s="83" t="s">
        <v>18</v>
      </c>
      <c r="N27" s="84"/>
      <c r="O27" s="177"/>
      <c r="P27" s="178"/>
      <c r="Q27" s="174" t="s">
        <v>65</v>
      </c>
      <c r="R27" s="175"/>
      <c r="S27" s="176"/>
      <c r="T27" s="187" t="s">
        <v>19</v>
      </c>
      <c r="U27" s="188"/>
      <c r="V27" s="19"/>
      <c r="W27" s="97" t="str">
        <f>U24</f>
        <v>{{extraction.rendicion.valor_total.valor}}</v>
      </c>
    </row>
    <row r="28" spans="1:23" x14ac:dyDescent="0.3">
      <c r="I28" s="118">
        <f>C1</f>
        <v>0</v>
      </c>
      <c r="J28" s="162">
        <f>C9</f>
        <v>0</v>
      </c>
      <c r="L28"/>
      <c r="M28" s="183" t="s">
        <v>20</v>
      </c>
      <c r="N28" s="184"/>
      <c r="O28" s="177"/>
      <c r="P28" s="178"/>
      <c r="Q28" s="174" t="s">
        <v>66</v>
      </c>
      <c r="R28" s="175"/>
      <c r="S28" s="176"/>
      <c r="T28" s="185" t="s">
        <v>39</v>
      </c>
      <c r="U28" s="186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3" t="s">
        <v>21</v>
      </c>
      <c r="N29" s="184"/>
      <c r="O29" s="177"/>
      <c r="P29" s="178"/>
      <c r="Q29" s="174" t="s">
        <v>67</v>
      </c>
      <c r="R29" s="175"/>
      <c r="S29" s="176"/>
      <c r="T29" s="179" t="s">
        <v>40</v>
      </c>
      <c r="U29" s="180"/>
      <c r="W29" s="98" t="str">
        <f>U23</f>
        <v>{{extraction.rendicion.cant_fact.valor}}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3" t="s">
        <v>22</v>
      </c>
      <c r="N30" s="184"/>
      <c r="O30" s="177"/>
      <c r="P30" s="205"/>
      <c r="Q30" s="174" t="s">
        <v>68</v>
      </c>
      <c r="R30" s="175"/>
      <c r="S30" s="176"/>
      <c r="T30" s="181" t="s">
        <v>41</v>
      </c>
      <c r="U30" s="182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3" t="s">
        <v>23</v>
      </c>
      <c r="N31" s="184"/>
      <c r="O31" s="177"/>
      <c r="P31" s="178"/>
      <c r="Q31" s="174" t="s">
        <v>69</v>
      </c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3" t="s">
        <v>24</v>
      </c>
      <c r="N32" s="184"/>
      <c r="O32" s="177"/>
      <c r="P32" s="178"/>
      <c r="Q32" s="174" t="s">
        <v>70</v>
      </c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7"/>
      <c r="P33" s="178"/>
      <c r="Q33" s="174" t="s">
        <v>71</v>
      </c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1" t="s">
        <v>26</v>
      </c>
      <c r="N34" s="202"/>
      <c r="O34" s="203"/>
      <c r="P34" s="204"/>
      <c r="Q34" s="174" t="s">
        <v>72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09" t="s">
        <v>27</v>
      </c>
      <c r="N35" s="210"/>
      <c r="O35" s="211"/>
      <c r="P35" s="199" t="s">
        <v>28</v>
      </c>
      <c r="Q35" s="200"/>
      <c r="R35" s="199" t="s">
        <v>29</v>
      </c>
      <c r="S35" s="200"/>
      <c r="T35" s="199" t="s">
        <v>30</v>
      </c>
      <c r="U35" s="200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81</v>
      </c>
      <c r="N37" s="38" t="s">
        <v>82</v>
      </c>
      <c r="O37" s="39" t="s">
        <v>83</v>
      </c>
      <c r="P37" s="40" t="s">
        <v>84</v>
      </c>
      <c r="Q37" s="81" t="s">
        <v>85</v>
      </c>
      <c r="R37" s="41" t="s">
        <v>86</v>
      </c>
      <c r="S37" s="82" t="s">
        <v>87</v>
      </c>
      <c r="T37" s="42" t="s">
        <v>88</v>
      </c>
      <c r="U37" s="78" t="s">
        <v>89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7" t="s">
        <v>42</v>
      </c>
      <c r="N38" s="208"/>
      <c r="O38" s="46" t="s">
        <v>65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6"/>
      <c r="E43" s="20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6"/>
      <c r="E44" s="20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6"/>
      <c r="E45" s="20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6"/>
      <c r="E46" s="20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6"/>
      <c r="E47" s="20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6"/>
      <c r="E48" s="20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6"/>
      <c r="E49" s="20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19"/>
      <c r="E51" s="219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18"/>
      <c r="E52" s="218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7"/>
      <c r="E53" s="217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7"/>
      <c r="E54" s="217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7"/>
      <c r="E60" s="217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7"/>
      <c r="E64" s="217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7"/>
      <c r="E65" s="217"/>
      <c r="F65" s="20"/>
      <c r="G65" s="1"/>
      <c r="H65" s="50"/>
      <c r="I65" s="54"/>
      <c r="J65" s="57"/>
      <c r="L65"/>
      <c r="M65" s="207" t="s">
        <v>34</v>
      </c>
      <c r="N65" s="208"/>
      <c r="O65" s="46" t="s">
        <v>66</v>
      </c>
      <c r="P65" s="56" t="s">
        <v>11</v>
      </c>
      <c r="Q65" s="46" t="s">
        <v>73</v>
      </c>
      <c r="R65" s="56" t="s">
        <v>11</v>
      </c>
      <c r="S65" s="46" t="s">
        <v>74</v>
      </c>
      <c r="T65" s="56" t="s">
        <v>11</v>
      </c>
      <c r="U65" s="46" t="s">
        <v>75</v>
      </c>
    </row>
    <row r="66" spans="1:23" ht="15" thickBot="1" x14ac:dyDescent="0.35">
      <c r="A66" s="25"/>
      <c r="B66"/>
      <c r="C66" s="95"/>
      <c r="D66" s="217"/>
      <c r="E66" s="217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99" t="s">
        <v>47</v>
      </c>
      <c r="N67" s="216"/>
      <c r="O67" s="200"/>
      <c r="P67" s="220"/>
      <c r="Q67" s="221"/>
      <c r="R67" s="199" t="s">
        <v>37</v>
      </c>
      <c r="S67" s="216"/>
      <c r="T67" s="212" t="str">
        <f>Q25</f>
        <v>{{extraction.rendicion.efectivo_total.valor}}</v>
      </c>
      <c r="U67" s="213"/>
    </row>
    <row r="68" spans="1:23" ht="15.75" customHeight="1" thickBot="1" x14ac:dyDescent="0.35">
      <c r="A68" s="25"/>
      <c r="B68"/>
      <c r="C68" s="25"/>
      <c r="D68" s="217"/>
      <c r="E68" s="217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7"/>
      <c r="E69" s="217"/>
      <c r="F69" s="67"/>
      <c r="G69" s="1"/>
      <c r="H69" s="50"/>
      <c r="I69" s="54"/>
      <c r="J69"/>
      <c r="L69"/>
      <c r="M69" s="207" t="s">
        <v>35</v>
      </c>
      <c r="N69" s="214"/>
      <c r="O69" s="214"/>
      <c r="P69" s="214"/>
      <c r="Q69" s="214"/>
      <c r="R69" s="214"/>
      <c r="S69" s="214"/>
      <c r="T69" s="214"/>
      <c r="U69" s="215"/>
      <c r="V69" s="55"/>
    </row>
    <row r="70" spans="1:23" ht="15" thickBot="1" x14ac:dyDescent="0.35">
      <c r="A70" s="25"/>
      <c r="B70" s="20"/>
      <c r="C70" s="25"/>
      <c r="D70" s="217"/>
      <c r="E70" s="217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7"/>
      <c r="E71" s="217"/>
      <c r="F71" s="67"/>
      <c r="G71" s="1"/>
      <c r="H71" s="50"/>
      <c r="I71" s="54"/>
      <c r="J71" s="23"/>
      <c r="L71"/>
      <c r="M71" s="63" t="s">
        <v>90</v>
      </c>
      <c r="N71" s="64"/>
      <c r="O71" s="169" t="s">
        <v>43</v>
      </c>
      <c r="P71" s="66" t="s">
        <v>91</v>
      </c>
      <c r="Q71" s="65"/>
      <c r="R71" s="223" t="s">
        <v>6</v>
      </c>
      <c r="S71" s="223"/>
      <c r="T71" s="159" t="s">
        <v>92</v>
      </c>
      <c r="U71" s="160"/>
      <c r="V71" s="55" t="s">
        <v>93</v>
      </c>
    </row>
    <row r="72" spans="1:23" ht="15.6" x14ac:dyDescent="0.3">
      <c r="B72" s="55"/>
      <c r="C72" s="94"/>
      <c r="D72" s="217"/>
      <c r="E72" s="217"/>
      <c r="F72" s="67"/>
      <c r="I72" s="130"/>
      <c r="L72"/>
      <c r="M72" s="89"/>
      <c r="N72" s="90"/>
      <c r="O72" s="18"/>
      <c r="P72" s="91"/>
      <c r="Q72" s="60"/>
      <c r="R72" s="224"/>
      <c r="S72" s="224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94</v>
      </c>
      <c r="M73" s="89" t="s">
        <v>95</v>
      </c>
      <c r="N73" s="90"/>
      <c r="O73" s="18" t="s">
        <v>43</v>
      </c>
      <c r="P73" s="91" t="s">
        <v>96</v>
      </c>
      <c r="Q73" s="60"/>
      <c r="R73" s="224" t="s">
        <v>10</v>
      </c>
      <c r="S73" s="224"/>
      <c r="T73" s="69" t="s">
        <v>97</v>
      </c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4"/>
      <c r="S74" s="224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2"/>
      <c r="S75" s="222"/>
      <c r="T75" s="225"/>
      <c r="U75" s="226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5"/>
      <c r="U76" s="226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80">
    <mergeCell ref="B9:D9"/>
    <mergeCell ref="B11:D11"/>
    <mergeCell ref="B12:D12"/>
    <mergeCell ref="T76:U76"/>
    <mergeCell ref="R74:S74"/>
    <mergeCell ref="B13:D13"/>
    <mergeCell ref="B14:D14"/>
    <mergeCell ref="B15:D15"/>
    <mergeCell ref="B16:D16"/>
    <mergeCell ref="B17:D17"/>
    <mergeCell ref="R75:S75"/>
    <mergeCell ref="R71:S71"/>
    <mergeCell ref="R73:S73"/>
    <mergeCell ref="R72:S72"/>
    <mergeCell ref="T75:U75"/>
    <mergeCell ref="M65:N65"/>
    <mergeCell ref="M67:O67"/>
    <mergeCell ref="D64:E64"/>
    <mergeCell ref="D71:E71"/>
    <mergeCell ref="D72:E72"/>
    <mergeCell ref="D52:E52"/>
    <mergeCell ref="D48:E48"/>
    <mergeCell ref="D49:E49"/>
    <mergeCell ref="D60:E60"/>
    <mergeCell ref="D66:E66"/>
    <mergeCell ref="D53:E53"/>
    <mergeCell ref="D51:E51"/>
    <mergeCell ref="D65:E65"/>
    <mergeCell ref="D54:E54"/>
    <mergeCell ref="T67:U67"/>
    <mergeCell ref="M69:U69"/>
    <mergeCell ref="R67:S67"/>
    <mergeCell ref="D68:E68"/>
    <mergeCell ref="D70:E70"/>
    <mergeCell ref="P67:Q67"/>
    <mergeCell ref="D69:E69"/>
    <mergeCell ref="D43:E43"/>
    <mergeCell ref="D47:E47"/>
    <mergeCell ref="D45:E45"/>
    <mergeCell ref="D46:E46"/>
    <mergeCell ref="M32:N32"/>
    <mergeCell ref="M38:N38"/>
    <mergeCell ref="M35:O35"/>
    <mergeCell ref="D44:E44"/>
    <mergeCell ref="M25:N25"/>
    <mergeCell ref="O25:P25"/>
    <mergeCell ref="Q25:S25"/>
    <mergeCell ref="R35:S35"/>
    <mergeCell ref="T35:U35"/>
    <mergeCell ref="O33:P33"/>
    <mergeCell ref="Q33:S33"/>
    <mergeCell ref="M34:N34"/>
    <mergeCell ref="O34:P34"/>
    <mergeCell ref="Q34:S34"/>
    <mergeCell ref="O30:P30"/>
    <mergeCell ref="Q30:S30"/>
    <mergeCell ref="O32:P32"/>
    <mergeCell ref="P35:Q35"/>
    <mergeCell ref="T30:U30"/>
    <mergeCell ref="Q32:S32"/>
    <mergeCell ref="M31:N31"/>
    <mergeCell ref="O31:P31"/>
    <mergeCell ref="Q31:S31"/>
    <mergeCell ref="M30:N30"/>
    <mergeCell ref="T25:U25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2026-06-24T22:36:55Z</dcterms:modified>
</cp:coreProperties>
</file>