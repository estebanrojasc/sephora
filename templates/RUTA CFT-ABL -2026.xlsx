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695E1391-83E3-46CC-9DD5-F4B9257BEDB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U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K37" i="1" l="1"/>
  <c r="J37" i="1" l="1"/>
  <c r="J36" i="1"/>
  <c r="J35" i="1"/>
  <c r="J34" i="1"/>
  <c r="J33" i="1"/>
  <c r="T18" i="1" l="1"/>
  <c r="T20" i="1" s="1"/>
  <c r="P18" i="1"/>
  <c r="P20" i="1" s="1"/>
  <c r="R18" i="1"/>
  <c r="R20" i="1" s="1"/>
  <c r="T67" i="1" l="1"/>
  <c r="J32" i="1" l="1"/>
  <c r="J31" i="1"/>
  <c r="J30" i="1"/>
  <c r="J29" i="1"/>
  <c r="J28" i="1"/>
  <c r="J27" i="1"/>
  <c r="I37" i="1" l="1"/>
  <c r="I36" i="1"/>
  <c r="I35" i="1"/>
  <c r="I34" i="1"/>
  <c r="I33" i="1"/>
  <c r="I32" i="1"/>
  <c r="I31" i="1"/>
  <c r="I30" i="1"/>
  <c r="I29" i="1"/>
  <c r="I28" i="1"/>
  <c r="I27" i="1"/>
  <c r="N78" i="1" l="1"/>
  <c r="Q18" i="1" l="1"/>
  <c r="Q20" i="1" l="1"/>
  <c r="J18" i="1"/>
  <c r="J20" i="1" s="1"/>
  <c r="W18" i="1"/>
  <c r="W20" i="1" s="1"/>
  <c r="U18" i="1"/>
  <c r="U20" i="1" s="1"/>
  <c r="S18" i="1"/>
  <c r="O18" i="1"/>
  <c r="O20" i="1" s="1"/>
  <c r="M18" i="1"/>
  <c r="M20" i="1" s="1"/>
  <c r="K18" i="1"/>
  <c r="K20" i="1" s="1"/>
  <c r="I18" i="1"/>
  <c r="I20" i="1" s="1"/>
  <c r="G18" i="1"/>
  <c r="G20" i="1" s="1"/>
  <c r="E18" i="1"/>
  <c r="E20" i="1" s="1"/>
  <c r="C18" i="1"/>
  <c r="C20" i="1" s="1"/>
  <c r="B20" i="1" l="1"/>
  <c r="W29" i="1"/>
  <c r="S20" i="1"/>
  <c r="F18" i="1"/>
  <c r="F20" i="1" s="1"/>
  <c r="K39" i="1" l="1"/>
  <c r="V18" i="1"/>
  <c r="V20" i="1" s="1"/>
  <c r="N18" i="1"/>
  <c r="N20" i="1" s="1"/>
  <c r="L18" i="1"/>
  <c r="L20" i="1" s="1"/>
  <c r="H18" i="1"/>
  <c r="H20" i="1" s="1"/>
  <c r="D18" i="1"/>
  <c r="W30" i="1" l="1"/>
  <c r="W33" i="1" s="1"/>
  <c r="D20" i="1"/>
  <c r="K43" i="1"/>
  <c r="K47" i="1" l="1"/>
</calcChain>
</file>

<file path=xl/sharedStrings.xml><?xml version="1.0" encoding="utf-8"?>
<sst xmlns="http://schemas.openxmlformats.org/spreadsheetml/2006/main" count="136" uniqueCount="107">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</sst>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1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42" fontId="6" fillId="0" borderId="0" xfId="2" applyFont="1" applyBorder="1" applyAlignment="1"/>
    <xf numFmtId="168" fontId="6" fillId="0" borderId="33" xfId="0" applyNumberFormat="1" applyFont="1" applyBorder="1" applyAlignment="1">
      <alignment horizontal="center" vertic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68" fontId="6" fillId="0" borderId="30" xfId="0" applyNumberFormat="1" applyFont="1" applyBorder="1" applyAlignment="1">
      <alignment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361806</xdr:colOff>
      <xdr:row>33</xdr:row>
      <xdr:rowOff>137072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8474"/>
  <sheetViews>
    <sheetView tabSelected="1" zoomScale="85" zoomScaleNormal="85" workbookViewId="0">
      <pane xSplit="1" topLeftCell="B1" activePane="topRight" state="frozenSplit"/>
      <selection activeCell="A49" sqref="A49"/>
      <selection pane="topRight" activeCell="M39" sqref="M39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s">
        <v>100</v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s">
        <v>101</v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 t="s">
        <v>102</v>
      </c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 t="s">
        <v>103</v>
      </c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s">
        <v>104</v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 t="s">
        <v>105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72" x14ac:dyDescent="0.3">
      <c r="A7" s="127" t="s">
        <v>2</v>
      </c>
      <c r="B7" s="155" t="s">
        <v>106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 t="s">
        <v>94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 t="s">
        <v>95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 t="s">
        <v>64</v>
      </c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 t="s">
        <v>65</v>
      </c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 t="s">
        <v>66</v>
      </c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 t="s">
        <v>67</v>
      </c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 t="s">
        <v>68</v>
      </c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 t="s">
        <v>69</v>
      </c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 t="s">
        <v>70</v>
      </c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5" t="s">
        <v>48</v>
      </c>
      <c r="N22" s="215"/>
      <c r="O22" s="215"/>
      <c r="P22" s="215"/>
      <c r="Q22" s="215"/>
      <c r="R22" s="215"/>
      <c r="S22" s="215"/>
      <c r="T22" s="215"/>
      <c r="U22" s="215"/>
    </row>
    <row r="23" spans="1:23" ht="16.2" thickBot="1" x14ac:dyDescent="0.35">
      <c r="D23" s="6"/>
      <c r="J23"/>
      <c r="L23"/>
      <c r="M23" s="14" t="s">
        <v>13</v>
      </c>
      <c r="N23" s="222" t="s">
        <v>63</v>
      </c>
      <c r="O23" s="223"/>
      <c r="P23" s="223"/>
      <c r="Q23" s="223"/>
      <c r="R23" s="223"/>
      <c r="S23" s="224"/>
      <c r="T23" s="142" t="s">
        <v>38</v>
      </c>
      <c r="U23" s="115" t="s">
        <v>75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5" t="s">
        <v>49</v>
      </c>
      <c r="O24" s="226"/>
      <c r="P24" s="226"/>
      <c r="Q24" s="226"/>
      <c r="R24" s="226"/>
      <c r="S24" s="227"/>
      <c r="T24" s="117" t="s">
        <v>11</v>
      </c>
      <c r="U24" s="116" t="s">
        <v>76</v>
      </c>
      <c r="W24" s="141" t="s">
        <v>75</v>
      </c>
    </row>
    <row r="25" spans="1:23" x14ac:dyDescent="0.3">
      <c r="B25" s="2"/>
      <c r="C25" s="111"/>
      <c r="D25" s="3" t="s">
        <v>15</v>
      </c>
      <c r="E25" s="4"/>
      <c r="J25"/>
      <c r="L25"/>
      <c r="M25" s="212" t="s">
        <v>16</v>
      </c>
      <c r="N25" s="213"/>
      <c r="O25" s="174"/>
      <c r="P25" s="175"/>
      <c r="Q25" s="171" t="s">
        <v>94</v>
      </c>
      <c r="R25" s="172"/>
      <c r="S25" s="173"/>
      <c r="T25" s="228" t="s">
        <v>17</v>
      </c>
      <c r="U25" s="229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203" t="s">
        <v>95</v>
      </c>
      <c r="R26" s="204"/>
      <c r="S26" s="205"/>
      <c r="T26" s="149"/>
      <c r="U26" s="150"/>
      <c r="V26" s="13"/>
      <c r="W26" s="86"/>
    </row>
    <row r="27" spans="1:23" x14ac:dyDescent="0.3">
      <c r="I27" s="118" t="str">
        <f>B1</f>
        <v>{{extraction._meta.bitacora.excel.conductor}}</v>
      </c>
      <c r="J27" s="162" t="str">
        <f>B9</f>
        <v>{{extraction.rendicion.detalles_cheques.total_billetes.valor}}</v>
      </c>
      <c r="L27"/>
      <c r="M27" s="83" t="s">
        <v>18</v>
      </c>
      <c r="N27" s="84"/>
      <c r="O27" s="194"/>
      <c r="P27" s="195"/>
      <c r="Q27" s="203" t="s">
        <v>64</v>
      </c>
      <c r="R27" s="204"/>
      <c r="S27" s="205"/>
      <c r="T27" s="220" t="s">
        <v>19</v>
      </c>
      <c r="U27" s="221"/>
      <c r="V27" s="19"/>
      <c r="W27" s="97" t="s">
        <v>76</v>
      </c>
    </row>
    <row r="28" spans="1:23" x14ac:dyDescent="0.3">
      <c r="I28" s="118">
        <f>C1</f>
        <v>0</v>
      </c>
      <c r="J28" s="162">
        <f>C9</f>
        <v>0</v>
      </c>
      <c r="L28"/>
      <c r="M28" s="210" t="s">
        <v>20</v>
      </c>
      <c r="N28" s="211"/>
      <c r="O28" s="194"/>
      <c r="P28" s="195"/>
      <c r="Q28" s="203" t="s">
        <v>65</v>
      </c>
      <c r="R28" s="204"/>
      <c r="S28" s="205"/>
      <c r="T28" s="218" t="s">
        <v>39</v>
      </c>
      <c r="U28" s="219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210" t="s">
        <v>21</v>
      </c>
      <c r="N29" s="211"/>
      <c r="O29" s="194"/>
      <c r="P29" s="195"/>
      <c r="Q29" s="203" t="s">
        <v>66</v>
      </c>
      <c r="R29" s="204"/>
      <c r="S29" s="205"/>
      <c r="T29" s="216" t="s">
        <v>40</v>
      </c>
      <c r="U29" s="217"/>
      <c r="W29" s="98" t="str">
        <f>U23</f>
        <v>{{extraction.cant_fact.valor}}</v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210" t="s">
        <v>22</v>
      </c>
      <c r="N30" s="211"/>
      <c r="O30" s="194"/>
      <c r="P30" s="214"/>
      <c r="Q30" s="203" t="s">
        <v>67</v>
      </c>
      <c r="R30" s="204"/>
      <c r="S30" s="205"/>
      <c r="T30" s="201" t="s">
        <v>41</v>
      </c>
      <c r="U30" s="202"/>
      <c r="V30" s="24"/>
      <c r="W30" s="21" t="str">
        <f>Q34</f>
        <v>{{extraction.rendicion.total.valor}}</v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210" t="s">
        <v>23</v>
      </c>
      <c r="N31" s="211"/>
      <c r="O31" s="194"/>
      <c r="P31" s="195"/>
      <c r="Q31" s="203" t="s">
        <v>68</v>
      </c>
      <c r="R31" s="204"/>
      <c r="S31" s="205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210" t="s">
        <v>24</v>
      </c>
      <c r="N32" s="211"/>
      <c r="O32" s="194"/>
      <c r="P32" s="195"/>
      <c r="Q32" s="203" t="s">
        <v>69</v>
      </c>
      <c r="R32" s="204"/>
      <c r="S32" s="205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4"/>
      <c r="P33" s="195"/>
      <c r="Q33" s="203" t="s">
        <v>70</v>
      </c>
      <c r="R33" s="204"/>
      <c r="S33" s="205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6" t="s">
        <v>26</v>
      </c>
      <c r="N34" s="207"/>
      <c r="O34" s="208"/>
      <c r="P34" s="209"/>
      <c r="Q34" s="203" t="s">
        <v>71</v>
      </c>
      <c r="R34" s="204"/>
      <c r="S34" s="205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89" t="s">
        <v>27</v>
      </c>
      <c r="N35" s="190"/>
      <c r="O35" s="191"/>
      <c r="P35" s="181" t="s">
        <v>28</v>
      </c>
      <c r="Q35" s="188"/>
      <c r="R35" s="181" t="s">
        <v>29</v>
      </c>
      <c r="S35" s="188"/>
      <c r="T35" s="181" t="s">
        <v>30</v>
      </c>
      <c r="U35" s="188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 t="s">
        <v>97</v>
      </c>
      <c r="N37" s="38" t="s">
        <v>98</v>
      </c>
      <c r="O37" s="39" t="s">
        <v>99</v>
      </c>
      <c r="P37" s="40" t="s">
        <v>80</v>
      </c>
      <c r="Q37" s="81" t="s">
        <v>81</v>
      </c>
      <c r="R37" s="41" t="s">
        <v>82</v>
      </c>
      <c r="S37" s="82" t="s">
        <v>83</v>
      </c>
      <c r="T37" s="42" t="s">
        <v>84</v>
      </c>
      <c r="U37" s="78" t="s">
        <v>85</v>
      </c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8" t="s">
        <v>42</v>
      </c>
      <c r="N38" s="179"/>
      <c r="O38" s="230" t="s">
        <v>64</v>
      </c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 t="s">
        <v>77</v>
      </c>
      <c r="N39" s="38" t="s">
        <v>78</v>
      </c>
      <c r="O39" s="39" t="s">
        <v>79</v>
      </c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92"/>
      <c r="E43" s="192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92"/>
      <c r="E44" s="192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92"/>
      <c r="E45" s="192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92"/>
      <c r="E46" s="192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92"/>
      <c r="E47" s="192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92"/>
      <c r="E48" s="192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92"/>
      <c r="E49" s="192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98"/>
      <c r="E51" s="198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77"/>
      <c r="E52" s="177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76"/>
      <c r="E53" s="176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76"/>
      <c r="E54" s="176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76"/>
      <c r="E60" s="176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76"/>
      <c r="E64" s="176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76"/>
      <c r="E65" s="176"/>
      <c r="F65" s="20"/>
      <c r="G65" s="1"/>
      <c r="H65" s="50"/>
      <c r="I65" s="54"/>
      <c r="J65" s="57"/>
      <c r="L65"/>
      <c r="M65" s="178" t="s">
        <v>34</v>
      </c>
      <c r="N65" s="193"/>
      <c r="O65" s="46" t="s">
        <v>65</v>
      </c>
      <c r="P65" s="56" t="s">
        <v>11</v>
      </c>
      <c r="Q65" s="46" t="s">
        <v>72</v>
      </c>
      <c r="R65" s="56" t="s">
        <v>11</v>
      </c>
      <c r="S65" s="46" t="s">
        <v>73</v>
      </c>
      <c r="T65" s="56" t="s">
        <v>11</v>
      </c>
      <c r="U65" s="46" t="s">
        <v>74</v>
      </c>
    </row>
    <row r="66" spans="1:23" ht="15" thickBot="1" x14ac:dyDescent="0.35">
      <c r="A66" s="25"/>
      <c r="B66"/>
      <c r="C66" s="95"/>
      <c r="D66" s="176"/>
      <c r="E66" s="176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1" t="s">
        <v>47</v>
      </c>
      <c r="N67" s="182"/>
      <c r="O67" s="188"/>
      <c r="P67" s="199"/>
      <c r="Q67" s="200"/>
      <c r="R67" s="181" t="s">
        <v>37</v>
      </c>
      <c r="S67" s="182"/>
      <c r="T67" s="196" t="str">
        <f>Q25</f>
        <v>{{extraction.rendicion.detalles_cheques.total_billetes.valor}}</v>
      </c>
      <c r="U67" s="197"/>
    </row>
    <row r="68" spans="1:23" ht="15.75" customHeight="1" thickBot="1" x14ac:dyDescent="0.35">
      <c r="A68" s="25"/>
      <c r="B68"/>
      <c r="C68" s="25"/>
      <c r="D68" s="176"/>
      <c r="E68" s="176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76"/>
      <c r="E69" s="176"/>
      <c r="F69" s="67"/>
      <c r="G69" s="1"/>
      <c r="H69" s="50"/>
      <c r="I69" s="54"/>
      <c r="J69"/>
      <c r="L69"/>
      <c r="M69" s="178" t="s">
        <v>35</v>
      </c>
      <c r="N69" s="179"/>
      <c r="O69" s="179"/>
      <c r="P69" s="179"/>
      <c r="Q69" s="179"/>
      <c r="R69" s="179"/>
      <c r="S69" s="179"/>
      <c r="T69" s="179"/>
      <c r="U69" s="180"/>
      <c r="V69" s="55"/>
    </row>
    <row r="70" spans="1:23" ht="15" thickBot="1" x14ac:dyDescent="0.35">
      <c r="A70" s="25"/>
      <c r="B70" s="20"/>
      <c r="C70" s="25"/>
      <c r="D70" s="176"/>
      <c r="E70" s="176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76"/>
      <c r="E71" s="176"/>
      <c r="F71" s="67"/>
      <c r="G71" s="1"/>
      <c r="H71" s="50"/>
      <c r="I71" s="54"/>
      <c r="J71" s="23"/>
      <c r="L71"/>
      <c r="M71" s="63" t="s">
        <v>86</v>
      </c>
      <c r="N71" s="64"/>
      <c r="O71" s="169" t="s">
        <v>43</v>
      </c>
      <c r="P71" s="66" t="s">
        <v>87</v>
      </c>
      <c r="Q71" s="65"/>
      <c r="R71" s="187" t="s">
        <v>6</v>
      </c>
      <c r="S71" s="187"/>
      <c r="T71" s="159" t="s">
        <v>88</v>
      </c>
      <c r="U71" s="160"/>
      <c r="V71" s="55" t="s">
        <v>89</v>
      </c>
    </row>
    <row r="72" spans="1:23" ht="15.6" x14ac:dyDescent="0.3">
      <c r="B72" s="55"/>
      <c r="C72" s="94"/>
      <c r="D72" s="176"/>
      <c r="E72" s="176"/>
      <c r="F72" s="67"/>
      <c r="I72" s="130"/>
      <c r="L72"/>
      <c r="M72" s="89"/>
      <c r="N72" s="90"/>
      <c r="O72" s="18"/>
      <c r="P72" s="91"/>
      <c r="Q72" s="60"/>
      <c r="R72" s="185"/>
      <c r="S72" s="185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s">
        <v>90</v>
      </c>
      <c r="M73" s="89" t="s">
        <v>91</v>
      </c>
      <c r="N73" s="90"/>
      <c r="O73" s="18" t="s">
        <v>43</v>
      </c>
      <c r="P73" s="91" t="s">
        <v>92</v>
      </c>
      <c r="Q73" s="60"/>
      <c r="R73" s="185" t="s">
        <v>10</v>
      </c>
      <c r="S73" s="185"/>
      <c r="T73" s="69" t="s">
        <v>93</v>
      </c>
      <c r="U73" s="100" t="s">
        <v>96</v>
      </c>
      <c r="V73" s="55"/>
    </row>
    <row r="74" spans="1:23" ht="15.6" x14ac:dyDescent="0.3">
      <c r="L74" s="49"/>
      <c r="M74" s="89"/>
      <c r="N74" s="90"/>
      <c r="O74" s="147"/>
      <c r="P74" s="91"/>
      <c r="Q74" s="60"/>
      <c r="R74" s="185"/>
      <c r="S74" s="185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86"/>
      <c r="S75" s="186"/>
      <c r="T75" s="183"/>
      <c r="U75" s="184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83"/>
      <c r="U76" s="184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048470" spans="1:23" s="1" customFormat="1" x14ac:dyDescent="0.3">
      <c r="A1048470"/>
      <c r="C1048470"/>
      <c r="D1048470" s="3"/>
      <c r="E1048470"/>
      <c r="F1048470" s="3"/>
      <c r="G1048470"/>
      <c r="H1048470"/>
      <c r="I1048470"/>
      <c r="J1048470" s="3"/>
      <c r="K1048470"/>
      <c r="L1048470" s="3"/>
      <c r="M1048470" s="3"/>
      <c r="N1048470"/>
      <c r="O1048470" s="4"/>
      <c r="P1048470" s="3"/>
      <c r="Q1048470" s="3"/>
      <c r="R1048470" s="3"/>
      <c r="S1048470" s="3"/>
      <c r="T1048470"/>
      <c r="U1048470"/>
      <c r="V1048470"/>
      <c r="W1048470"/>
    </row>
    <row r="1048474" spans="1:23" x14ac:dyDescent="0.3">
      <c r="A1048474" t="s">
        <v>36</v>
      </c>
    </row>
  </sheetData>
  <mergeCells count="70">
    <mergeCell ref="N23:S23"/>
    <mergeCell ref="N24:S24"/>
    <mergeCell ref="T25:U25"/>
    <mergeCell ref="M38:N38"/>
    <mergeCell ref="M25:N25"/>
    <mergeCell ref="O30:P30"/>
    <mergeCell ref="Q30:S3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O32:P32"/>
    <mergeCell ref="P35:Q35"/>
    <mergeCell ref="T67:U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P67:Q67"/>
    <mergeCell ref="M35:O35"/>
    <mergeCell ref="D44:E44"/>
    <mergeCell ref="D46:E46"/>
    <mergeCell ref="M65:N65"/>
    <mergeCell ref="T76:U76"/>
    <mergeCell ref="R74:S74"/>
    <mergeCell ref="R75:S75"/>
    <mergeCell ref="R71:S71"/>
    <mergeCell ref="R73:S73"/>
    <mergeCell ref="R72:S72"/>
    <mergeCell ref="T75:U75"/>
    <mergeCell ref="D71:E71"/>
    <mergeCell ref="D72:E72"/>
    <mergeCell ref="D52:E52"/>
    <mergeCell ref="M69:U69"/>
    <mergeCell ref="R67:S67"/>
    <mergeCell ref="D68:E68"/>
    <mergeCell ref="D70:E70"/>
    <mergeCell ref="D69:E69"/>
    <mergeCell ref="M67:O67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2026-07-01T16:24:14Z</dcterms:modified>
</cp:coreProperties>
</file>