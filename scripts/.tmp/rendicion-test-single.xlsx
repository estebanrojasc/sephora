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"/>
    </mc:Choice>
  </mc:AlternateContent>
  <xr:revisionPtr revIDLastSave="0" documentId="8_{4A95DEED-F1CE-4652-8B21-F548273E95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TA" sheetId="1" r:id="rId1"/>
  </sheets>
  <calcPr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<sst xmlns="http://schemas.openxmlformats.org/spreadsheetml/2006/main" count="219" uniqueCount="91">
  <si>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</si>
  <si>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</si>
  <si>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</si>
  <si>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</si>
  <si>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</si>
  <si>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</si>
  <si>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</si>
  <si>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</si>
  <si>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</si>
  <si>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</si>
  <si>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</si>
  <si>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</si>
  <si>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</si>
  <si>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</si>
  <si>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</si>
  <si>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</si>
  <si>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</si>
  <si>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</si>
  <si>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</si>
  <si>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</si>
  <si>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</si>
  <si>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</si>
  <si>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</si>
  <si>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</si>
  <si>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</si>
  <si>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</si>
  <si>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</si>
  <si>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</si>
  <si>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</si>
  <si>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</si>
  <si>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</si>
  <si>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</si>
  <si>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</si>
  <si>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</si>
  <si>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</si>
  <si>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</si>
  <si>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</si>
  <si>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</si>
  <si>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</si>
  <si>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</si>
  <si>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</si>
  <si>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</si>
  <si>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</si>
  <si>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</si>
  <si>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</si>
  <si>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</si>
  <si>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</si>
  <si>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</si>
  <si>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</si>
  <si>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</si>
  <si>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</si>
  <si>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</si>
  <si>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</si>
  <si>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</si>
  <si>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</si>
  <si>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</si>
  <si>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</si>
  <si>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</si>
  <si>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</si>
  <si>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</si>
  <si>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</si>
  <si>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</si>
  <si>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</si>
  <si>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SILVIA CHOQUE</t>
  </si>
  <si>
    <t>{{extraction.fecha.valor}}</t>
  </si>
  <si>
    <t>{{extraction.rendicion.efectivo_total.valor}}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</si>
  <si>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</si>
  <si>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</si>
  <si>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</si>
  <si>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</si>
  <si>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</si>
  <si>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</si>
  <si>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</si>
  <si>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</si>
  <si>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</si>
  <si>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</si>
  <si>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</si>
  <si>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{{extraction.auxiliar.valor}}</t>
  </si>
  <si>
    <t>{{extraction.conductor.valor}}</t>
  </si>
  <si>
    <t>{{extraction.cant_fact.valor}}</t>
  </si>
  <si>
    <t>{{extraction.n_recorrido.valor}}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</si>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</sst>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8" formatCode="_ &quot;$&quot;* #,##0_ ;_ &quot;$&quot;* \-#,##0_ ;_ &quot;$&quot;* &quot;-&quot;??_ ;_ @_ "/>
    <numFmt numFmtId="169" formatCode="dd/mm/yy;@"/>
    <numFmt numFmtId="170" formatCode="#,##0_ ;\-#,##0\ "/>
    <numFmt numFmtId="172" formatCode="[$-F800]dddd\,\ mmmm\ dd\,\ yyyy"/>
    <numFmt numFmtId="173" formatCode="_-&quot;$&quot;\ * #,##0_-;\-&quot;$&quot;\ * #,##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9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20" xfId="0" applyFont="1" applyBorder="1" applyAlignment="1">
      <alignment horizontal="center"/>
    </xf>
    <xf numFmtId="0" fontId="8" fillId="0" borderId="24" xfId="0" applyFont="1" applyBorder="1" applyAlignment="1">
      <alignment horizontal="center" vertical="center"/>
    </xf>
    <xf numFmtId="4" fontId="8" fillId="0" borderId="0" xfId="0" applyNumberFormat="1" applyFont="1"/>
    <xf numFmtId="0" fontId="8" fillId="0" borderId="24" xfId="0" applyFont="1" applyBorder="1" applyAlignment="1">
      <alignment horizontal="center"/>
    </xf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8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8" fontId="0" fillId="0" borderId="0" xfId="0" applyNumberFormat="1"/>
    <xf numFmtId="0" fontId="14" fillId="0" borderId="0" xfId="0" applyFont="1"/>
    <xf numFmtId="169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9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8" fontId="9" fillId="0" borderId="29" xfId="1" applyNumberFormat="1" applyFont="1" applyFill="1" applyBorder="1" applyAlignment="1">
      <alignment vertical="center"/>
    </xf>
    <xf numFmtId="170" fontId="4" fillId="0" borderId="17" xfId="0" applyNumberFormat="1" applyFont="1" applyBorder="1" applyAlignment="1">
      <alignment vertical="center"/>
    </xf>
    <xf numFmtId="168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8" fontId="0" fillId="0" borderId="0" xfId="1" applyNumberFormat="1" applyFont="1" applyFill="1" applyBorder="1"/>
    <xf numFmtId="168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70" fontId="4" fillId="0" borderId="21" xfId="0" applyNumberFormat="1" applyFont="1" applyBorder="1" applyAlignment="1">
      <alignment vertical="center"/>
    </xf>
    <xf numFmtId="168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32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8" fontId="3" fillId="0" borderId="21" xfId="1" applyNumberFormat="1" applyFont="1" applyFill="1" applyBorder="1"/>
    <xf numFmtId="168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8" fontId="18" fillId="0" borderId="5" xfId="1" applyNumberFormat="1" applyFont="1" applyFill="1" applyBorder="1" applyAlignment="1">
      <alignment vertical="center"/>
    </xf>
    <xf numFmtId="168" fontId="18" fillId="0" borderId="27" xfId="1" applyNumberFormat="1" applyFont="1" applyFill="1" applyBorder="1" applyAlignment="1">
      <alignment vertical="center"/>
    </xf>
    <xf numFmtId="168" fontId="3" fillId="0" borderId="31" xfId="1" applyNumberFormat="1" applyFont="1" applyFill="1" applyBorder="1"/>
    <xf numFmtId="168" fontId="0" fillId="0" borderId="31" xfId="1" applyNumberFormat="1" applyFont="1" applyFill="1" applyBorder="1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3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3" fontId="0" fillId="0" borderId="3" xfId="0" applyNumberFormat="1" applyBorder="1" applyAlignment="1">
      <alignment horizontal="righ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165" fontId="0" fillId="0" borderId="3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2" xfId="0" applyNumberFormat="1" applyBorder="1"/>
    <xf numFmtId="165" fontId="0" fillId="0" borderId="1" xfId="0" applyNumberFormat="1" applyBorder="1" applyAlignment="1">
      <alignment horizontal="center"/>
    </xf>
    <xf numFmtId="0" fontId="13" fillId="0" borderId="0" xfId="0" applyFont="1"/>
    <xf numFmtId="42" fontId="13" fillId="0" borderId="0" xfId="0" applyNumberFormat="1" applyFont="1"/>
    <xf numFmtId="42" fontId="19" fillId="0" borderId="0" xfId="0" applyNumberFormat="1" applyFont="1" applyAlignment="1">
      <alignment horizontal="center" vertical="center"/>
    </xf>
    <xf numFmtId="164" fontId="13" fillId="0" borderId="0" xfId="0" applyNumberFormat="1" applyFont="1"/>
    <xf numFmtId="3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73" fontId="0" fillId="0" borderId="1" xfId="1" applyNumberFormat="1" applyFont="1" applyFill="1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42" fontId="0" fillId="3" borderId="0" xfId="0" applyNumberFormat="1" applyFill="1"/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42" fontId="0" fillId="0" borderId="23" xfId="3" applyFont="1" applyFill="1" applyBorder="1" applyAlignment="1">
      <alignment horizontal="right" vertical="center" wrapText="1"/>
    </xf>
    <xf numFmtId="169" fontId="6" fillId="0" borderId="17" xfId="0" applyNumberFormat="1" applyFont="1" applyBorder="1" applyAlignment="1">
      <alignment horizontal="center" vertical="center"/>
    </xf>
    <xf numFmtId="169" fontId="6" fillId="0" borderId="19" xfId="0" applyNumberFormat="1" applyFont="1" applyBorder="1" applyAlignment="1">
      <alignment horizontal="center" vertical="center"/>
    </xf>
    <xf numFmtId="169" fontId="6" fillId="0" borderId="18" xfId="0" applyNumberFormat="1" applyFont="1" applyBorder="1" applyAlignment="1">
      <alignment horizontal="center" vertical="center"/>
    </xf>
    <xf numFmtId="168" fontId="18" fillId="0" borderId="19" xfId="1" applyNumberFormat="1" applyFont="1" applyFill="1" applyBorder="1" applyAlignment="1">
      <alignment vertical="center"/>
    </xf>
    <xf numFmtId="168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4" borderId="0" xfId="2" applyFont="1" applyFill="1" applyBorder="1" applyAlignment="1">
      <alignment horizontal="center" vertical="center"/>
    </xf>
    <xf numFmtId="170" fontId="4" fillId="5" borderId="21" xfId="0" applyNumberFormat="1" applyFont="1" applyFill="1" applyBorder="1" applyAlignment="1">
      <alignment vertical="center"/>
    </xf>
    <xf numFmtId="168" fontId="4" fillId="5" borderId="0" xfId="1" applyNumberFormat="1" applyFont="1" applyFill="1" applyBorder="1" applyAlignment="1">
      <alignment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 vertical="top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9" fontId="6" fillId="0" borderId="31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168" fontId="18" fillId="5" borderId="0" xfId="1" applyNumberFormat="1" applyFont="1" applyFill="1" applyBorder="1" applyAlignment="1">
      <alignment horizontal="center" vertical="center"/>
    </xf>
    <xf numFmtId="168" fontId="18" fillId="5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8" fillId="0" borderId="0" xfId="2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0" fillId="5" borderId="0" xfId="0" applyFill="1" applyAlignment="1">
      <alignment horizontal="center" vertical="center"/>
    </xf>
    <xf numFmtId="4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left"/>
    </xf>
    <xf numFmtId="169" fontId="6" fillId="0" borderId="28" xfId="0" applyNumberFormat="1" applyFont="1" applyBorder="1" applyAlignment="1">
      <alignment horizontal="center" vertical="center"/>
    </xf>
    <xf numFmtId="169" fontId="6" fillId="0" borderId="33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169" fontId="6" fillId="0" borderId="29" xfId="0" applyNumberFormat="1" applyFont="1" applyBorder="1" applyAlignment="1">
      <alignment horizontal="center" vertical="center"/>
    </xf>
    <xf numFmtId="169" fontId="6" fillId="0" borderId="30" xfId="0" applyNumberFormat="1" applyFont="1" applyBorder="1" applyAlignment="1">
      <alignment horizontal="center" vertical="center"/>
    </xf>
    <xf numFmtId="42" fontId="6" fillId="0" borderId="0" xfId="2" applyFont="1" applyBorder="1" applyAlignment="1"/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2" fontId="7" fillId="0" borderId="7" xfId="0" applyNumberFormat="1" applyFont="1" applyBorder="1" applyAlignment="1">
      <alignment horizontal="center" vertical="center"/>
    </xf>
    <xf numFmtId="172" fontId="7" fillId="0" borderId="8" xfId="0" applyNumberFormat="1" applyFont="1" applyBorder="1" applyAlignment="1">
      <alignment horizontal="center" vertical="center"/>
    </xf>
    <xf numFmtId="172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371331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8529"/>
  <sheetViews>
    <sheetView tabSelected="1" topLeftCell="A15" zoomScale="85" zoomScaleNormal="85" workbookViewId="0">
      <pane xSplit="1" topLeftCell="N1" activePane="topRight" state="frozenSplit"/>
      <selection activeCell="A49" sqref="A49"/>
      <selection pane="topRight" activeCell="T38" sqref="T38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27" t="inlineStr">
        <is>
          <t xml:space="preserve">SILVIA CHOQUE</t>
        </is>
      </c>
      <c r="C1" s="143"/>
      <c r="D1" s="143"/>
      <c r="E1" s="127"/>
      <c r="F1" s="143"/>
      <c r="G1" s="143"/>
      <c r="H1" s="127"/>
      <c r="I1" s="127"/>
      <c r="J1" s="143"/>
      <c r="K1" s="143"/>
      <c r="L1" s="127"/>
      <c r="M1" s="127"/>
      <c r="N1" s="127"/>
      <c r="O1" s="127"/>
      <c r="P1" s="127"/>
      <c r="Q1" s="127"/>
      <c r="R1" s="145"/>
      <c r="S1" s="143"/>
      <c r="T1" s="143"/>
      <c r="U1" s="109"/>
      <c r="V1" s="108"/>
      <c r="W1" s="129"/>
    </row>
    <row r="2" spans="1:23" s="8" customFormat="1" ht="15" customHeight="1" x14ac:dyDescent="0.3">
      <c r="A2" s="7" t="s">
        <v>51</v>
      </c>
      <c r="B2" s="127" t="inlineStr">
        <is>
          <t xml:space="preserve">Juan Aux</t>
        </is>
      </c>
      <c r="C2" s="143"/>
      <c r="D2" s="143"/>
      <c r="E2" s="127"/>
      <c r="F2" s="143"/>
      <c r="G2" s="153"/>
      <c r="H2" s="127"/>
      <c r="I2" s="127"/>
      <c r="J2" s="143"/>
      <c r="K2" s="143"/>
      <c r="L2" s="127"/>
      <c r="M2" s="127"/>
      <c r="N2" s="127"/>
      <c r="O2" s="127"/>
      <c r="P2" s="127"/>
      <c r="Q2" s="127"/>
      <c r="R2" s="145"/>
      <c r="S2" s="143"/>
      <c r="T2" s="143"/>
      <c r="U2" s="109"/>
      <c r="V2" s="108"/>
      <c r="W2" s="129"/>
    </row>
    <row r="3" spans="1:23" s="49" customFormat="1" ht="15.75" customHeight="1" x14ac:dyDescent="0.3">
      <c r="A3" s="146" t="s">
        <v>35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22"/>
      <c r="V3" s="131"/>
      <c r="W3" s="132"/>
    </row>
    <row r="4" spans="1:23" s="49" customFormat="1" ht="15.75" customHeight="1" x14ac:dyDescent="0.3">
      <c r="A4" s="146" t="s">
        <v>52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22"/>
      <c r="V4" s="131"/>
      <c r="W4" s="132"/>
    </row>
    <row r="5" spans="1:23" s="49" customFormat="1" ht="15.75" customHeight="1" x14ac:dyDescent="0.3">
      <c r="A5" s="127" t="s">
        <v>0</v>
      </c>
      <c r="B5" s="154" t="inlineStr">
        <is>
          <t xml:space="preserve">5017</t>
        </is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43"/>
      <c r="S5" s="143"/>
      <c r="T5" s="143"/>
      <c r="U5" s="121"/>
      <c r="V5" s="124"/>
      <c r="W5" s="123"/>
    </row>
    <row r="6" spans="1:23" s="49" customFormat="1" x14ac:dyDescent="0.3">
      <c r="A6" s="127" t="s">
        <v>1</v>
      </c>
      <c r="B6">
        <v>12</v>
      </c>
      <c r="C6"/>
      <c r="D6"/>
      <c r="E6"/>
      <c r="F6"/>
      <c r="G6"/>
      <c r="H6"/>
      <c r="I6"/>
      <c r="J6"/>
      <c r="K6"/>
      <c r="L6"/>
      <c r="M6" s="123"/>
      <c r="N6" s="123"/>
      <c r="O6" s="123"/>
      <c r="P6" s="123"/>
      <c r="Q6" s="123"/>
      <c r="R6" s="143"/>
      <c r="S6" s="143"/>
      <c r="T6" s="143"/>
      <c r="U6" s="121"/>
      <c r="V6" s="123"/>
      <c r="W6" s="123"/>
    </row>
    <row r="7" spans="1:23" s="49" customFormat="1" ht="43.2" x14ac:dyDescent="0.3">
      <c r="A7" s="127" t="s">
        <v>2</v>
      </c>
      <c r="B7" s="155">
        <v>1234567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44"/>
      <c r="S7" s="144"/>
      <c r="T7" s="144"/>
      <c r="U7" s="113"/>
      <c r="V7" s="110"/>
      <c r="W7" s="110"/>
    </row>
    <row r="8" spans="1:23" s="49" customFormat="1" ht="15.75" customHeight="1" x14ac:dyDescent="0.3">
      <c r="A8" s="127"/>
      <c r="B8" s="110"/>
      <c r="C8" s="123"/>
      <c r="D8" s="110"/>
      <c r="E8" s="123"/>
      <c r="F8" s="119"/>
      <c r="G8" s="123"/>
      <c r="H8" s="110"/>
      <c r="I8" s="123"/>
      <c r="J8" s="110"/>
      <c r="K8" s="123"/>
      <c r="L8" s="119"/>
      <c r="M8" s="123"/>
      <c r="N8" s="120"/>
      <c r="O8" s="123"/>
      <c r="P8" s="140"/>
      <c r="Q8" s="121"/>
      <c r="R8" s="140"/>
      <c r="S8" s="123"/>
      <c r="T8" s="140"/>
      <c r="U8" s="121"/>
      <c r="V8" s="119"/>
      <c r="W8" s="123"/>
    </row>
    <row r="9" spans="1:23" s="125" customFormat="1" ht="15.75" customHeight="1" x14ac:dyDescent="0.3">
      <c r="A9" s="128" t="s">
        <v>3</v>
      </c>
      <c r="B9" s="119"/>
      <c r="C9" s="110"/>
      <c r="D9" s="110"/>
      <c r="E9" s="110"/>
      <c r="F9" s="119"/>
      <c r="G9" s="110"/>
      <c r="H9" s="119"/>
      <c r="I9" s="110"/>
      <c r="J9" s="119"/>
      <c r="K9" s="110"/>
      <c r="L9" s="119"/>
      <c r="M9" s="110"/>
      <c r="N9" s="120"/>
      <c r="O9" s="110"/>
      <c r="P9" s="140"/>
      <c r="Q9" s="113"/>
      <c r="R9" s="140"/>
      <c r="S9" s="137"/>
      <c r="T9" s="139"/>
      <c r="U9" s="113"/>
      <c r="V9" s="119"/>
      <c r="W9" s="110"/>
    </row>
    <row r="10" spans="1:23" s="125" customFormat="1" ht="15.75" customHeight="1" x14ac:dyDescent="0.3">
      <c r="A10" s="128" t="s">
        <v>54</v>
      </c>
      <c r="B10" s="119"/>
      <c r="C10" s="110"/>
      <c r="D10" s="110"/>
      <c r="E10" s="110"/>
      <c r="F10" s="119"/>
      <c r="G10" s="110"/>
      <c r="H10" s="119"/>
      <c r="I10" s="110"/>
      <c r="J10" s="119"/>
      <c r="K10" s="110"/>
      <c r="L10" s="119"/>
      <c r="M10" s="110"/>
      <c r="N10" s="120"/>
      <c r="O10" s="110"/>
      <c r="P10" s="140"/>
      <c r="Q10" s="113"/>
      <c r="R10" s="140"/>
      <c r="S10" s="137"/>
      <c r="T10" s="139"/>
      <c r="U10" s="113"/>
      <c r="V10" s="119"/>
      <c r="W10" s="110"/>
    </row>
    <row r="11" spans="1:23" s="125" customFormat="1" ht="15.75" customHeight="1" x14ac:dyDescent="0.3">
      <c r="A11" s="128" t="s">
        <v>4</v>
      </c>
      <c r="B11" s="119"/>
      <c r="C11" s="110"/>
      <c r="D11" s="119"/>
      <c r="E11" s="110"/>
      <c r="F11" s="119"/>
      <c r="G11" s="110"/>
      <c r="H11" s="119"/>
      <c r="I11" s="110"/>
      <c r="J11" s="119"/>
      <c r="K11" s="110"/>
      <c r="L11" s="119"/>
      <c r="M11" s="110"/>
      <c r="N11" s="120"/>
      <c r="O11" s="110"/>
      <c r="P11" s="140"/>
      <c r="Q11" s="113"/>
      <c r="R11" s="140"/>
      <c r="S11" s="137"/>
      <c r="T11" s="139"/>
      <c r="U11" s="113"/>
      <c r="V11" s="119"/>
      <c r="W11" s="110"/>
    </row>
    <row r="12" spans="1:23" s="125" customFormat="1" ht="15.75" customHeight="1" x14ac:dyDescent="0.3">
      <c r="A12" s="128" t="s">
        <v>5</v>
      </c>
      <c r="B12" s="119"/>
      <c r="C12" s="110"/>
      <c r="D12" s="119"/>
      <c r="E12" s="110"/>
      <c r="F12" s="119"/>
      <c r="G12" s="110"/>
      <c r="H12" s="119"/>
      <c r="I12" s="110"/>
      <c r="J12" s="119"/>
      <c r="K12" s="110"/>
      <c r="L12" s="119"/>
      <c r="M12" s="110"/>
      <c r="N12" s="120"/>
      <c r="O12" s="110"/>
      <c r="P12" s="140"/>
      <c r="Q12" s="113"/>
      <c r="R12" s="140"/>
      <c r="S12" s="137"/>
      <c r="T12" s="139"/>
      <c r="U12" s="113"/>
      <c r="V12" s="119"/>
      <c r="W12" s="110"/>
    </row>
    <row r="13" spans="1:23" s="125" customFormat="1" ht="15.75" customHeight="1" x14ac:dyDescent="0.3">
      <c r="A13" s="128" t="s">
        <v>6</v>
      </c>
      <c r="B13" s="119"/>
      <c r="C13" s="110"/>
      <c r="D13" s="119"/>
      <c r="E13" s="110"/>
      <c r="F13" s="119"/>
      <c r="G13" s="110"/>
      <c r="H13" s="119"/>
      <c r="I13" s="110"/>
      <c r="J13" s="119"/>
      <c r="K13" s="110"/>
      <c r="L13" s="119"/>
      <c r="M13" s="110"/>
      <c r="N13" s="120"/>
      <c r="O13" s="110"/>
      <c r="P13" s="140"/>
      <c r="Q13" s="113"/>
      <c r="R13" s="140"/>
      <c r="S13" s="137"/>
      <c r="T13" s="139"/>
      <c r="U13" s="113"/>
      <c r="V13" s="119"/>
      <c r="W13" s="110"/>
    </row>
    <row r="14" spans="1:23" s="125" customFormat="1" ht="15.75" customHeight="1" x14ac:dyDescent="0.3">
      <c r="A14" s="128" t="s">
        <v>7</v>
      </c>
      <c r="B14" s="119"/>
      <c r="C14" s="110"/>
      <c r="D14" s="119"/>
      <c r="E14" s="110"/>
      <c r="F14" s="119"/>
      <c r="G14" s="110"/>
      <c r="H14" s="119"/>
      <c r="I14" s="110"/>
      <c r="J14" s="119"/>
      <c r="K14" s="110"/>
      <c r="L14" s="119"/>
      <c r="M14" s="110"/>
      <c r="N14" s="120"/>
      <c r="O14" s="110"/>
      <c r="P14" s="140"/>
      <c r="Q14" s="113"/>
      <c r="R14" s="140"/>
      <c r="S14" s="137"/>
      <c r="T14" s="139"/>
      <c r="U14" s="113"/>
      <c r="V14" s="119"/>
      <c r="W14" s="110"/>
    </row>
    <row r="15" spans="1:23" s="125" customFormat="1" ht="15.75" customHeight="1" x14ac:dyDescent="0.3">
      <c r="A15" s="128" t="s">
        <v>8</v>
      </c>
      <c r="B15" s="119"/>
      <c r="C15" s="110"/>
      <c r="D15" s="119"/>
      <c r="E15" s="110"/>
      <c r="F15" s="119"/>
      <c r="G15" s="110"/>
      <c r="H15" s="119"/>
      <c r="I15" s="110"/>
      <c r="J15" s="119"/>
      <c r="K15" s="110"/>
      <c r="L15" s="119"/>
      <c r="M15" s="110"/>
      <c r="N15" s="120"/>
      <c r="O15" s="110"/>
      <c r="P15" s="140"/>
      <c r="Q15" s="113"/>
      <c r="R15" s="140"/>
      <c r="S15" s="137"/>
      <c r="T15" s="139"/>
      <c r="U15" s="113"/>
      <c r="V15" s="119"/>
      <c r="W15" s="110"/>
    </row>
    <row r="16" spans="1:23" s="125" customFormat="1" x14ac:dyDescent="0.3">
      <c r="A16" s="128" t="s">
        <v>9</v>
      </c>
      <c r="B16" s="119"/>
      <c r="C16" s="110"/>
      <c r="D16" s="119"/>
      <c r="E16" s="110"/>
      <c r="F16" s="119"/>
      <c r="G16" s="110"/>
      <c r="H16" s="119"/>
      <c r="I16" s="126"/>
      <c r="J16" s="119"/>
      <c r="K16" s="126"/>
      <c r="L16" s="119"/>
      <c r="M16" s="110"/>
      <c r="N16" s="120"/>
      <c r="O16" s="110"/>
      <c r="P16" s="140"/>
      <c r="Q16" s="113"/>
      <c r="R16" s="140"/>
      <c r="S16" s="137"/>
      <c r="T16" s="139"/>
      <c r="U16" s="113"/>
      <c r="V16" s="119"/>
      <c r="W16" s="110"/>
    </row>
    <row r="17" spans="1:23" s="125" customFormat="1" x14ac:dyDescent="0.3">
      <c r="A17" s="128" t="s">
        <v>10</v>
      </c>
      <c r="B17" s="119"/>
      <c r="C17" s="110"/>
      <c r="D17" s="119"/>
      <c r="E17" s="110"/>
      <c r="F17" s="119"/>
      <c r="G17" s="110"/>
      <c r="H17" s="119"/>
      <c r="I17" s="126"/>
      <c r="J17" s="119"/>
      <c r="K17" s="110"/>
      <c r="L17" s="119"/>
      <c r="M17" s="110"/>
      <c r="N17" s="120"/>
      <c r="O17" s="110"/>
      <c r="P17" s="140"/>
      <c r="Q17" s="113"/>
      <c r="R17" s="140"/>
      <c r="S17" s="137"/>
      <c r="T17" s="139"/>
      <c r="U17" s="113"/>
      <c r="V17" s="119"/>
      <c r="W17" s="110"/>
    </row>
    <row r="18" spans="1:23" s="125" customFormat="1" x14ac:dyDescent="0.3">
      <c r="A18" s="128" t="s">
        <v>11</v>
      </c>
      <c r="B18" s="119">
        <f t="shared" ref="B18:O18" si="0">SUM(B9:B17)</f>
        <v>0</v>
      </c>
      <c r="C18" s="119">
        <f t="shared" si="0"/>
        <v>0</v>
      </c>
      <c r="D18" s="119">
        <f t="shared" si="0"/>
        <v>0</v>
      </c>
      <c r="E18" s="119">
        <f t="shared" si="0"/>
        <v>0</v>
      </c>
      <c r="F18" s="119">
        <f t="shared" si="0"/>
        <v>0</v>
      </c>
      <c r="G18" s="119">
        <f t="shared" si="0"/>
        <v>0</v>
      </c>
      <c r="H18" s="119">
        <f t="shared" si="0"/>
        <v>0</v>
      </c>
      <c r="I18" s="119">
        <f t="shared" si="0"/>
        <v>0</v>
      </c>
      <c r="J18" s="119">
        <f t="shared" si="0"/>
        <v>0</v>
      </c>
      <c r="K18" s="119">
        <f t="shared" si="0"/>
        <v>0</v>
      </c>
      <c r="L18" s="119">
        <f t="shared" si="0"/>
        <v>0</v>
      </c>
      <c r="M18" s="119">
        <f t="shared" si="0"/>
        <v>0</v>
      </c>
      <c r="N18" s="120">
        <f t="shared" si="0"/>
        <v>0</v>
      </c>
      <c r="O18" s="119">
        <f t="shared" si="0"/>
        <v>0</v>
      </c>
      <c r="P18" s="119">
        <f t="shared" ref="P18" si="1">SUM(P9:P17)</f>
        <v>0</v>
      </c>
      <c r="Q18" s="122">
        <f>SUM(Q9:Q17)</f>
        <v>0</v>
      </c>
      <c r="R18" s="122">
        <f>SUM(R9:R17)</f>
        <v>0</v>
      </c>
      <c r="S18" s="132">
        <f>SUM(S9:S17)</f>
        <v>0</v>
      </c>
      <c r="T18" s="132">
        <f>SUM(T9:T17)</f>
        <v>0</v>
      </c>
      <c r="U18" s="122">
        <f t="shared" ref="U18:W18" si="2">SUM(U9:U17)</f>
        <v>0</v>
      </c>
      <c r="V18" s="119">
        <f t="shared" si="2"/>
        <v>0</v>
      </c>
      <c r="W18" s="119">
        <f t="shared" si="2"/>
        <v>0</v>
      </c>
    </row>
    <row r="19" spans="1:23" s="125" customFormat="1" x14ac:dyDescent="0.3">
      <c r="A19" s="128"/>
      <c r="B19" s="119"/>
      <c r="C19" s="119"/>
      <c r="D19" s="119"/>
      <c r="E19" s="119"/>
      <c r="F19" s="110"/>
      <c r="G19" s="119"/>
      <c r="H19" s="119"/>
      <c r="I19" s="119"/>
      <c r="J19" s="119"/>
      <c r="K19" s="119"/>
      <c r="L19" s="119"/>
      <c r="M19" s="119"/>
      <c r="N19" s="120"/>
      <c r="O19" s="119"/>
      <c r="P19" s="119"/>
      <c r="Q19" s="122"/>
      <c r="R19" s="122"/>
      <c r="S19" s="132"/>
      <c r="T19" s="132"/>
      <c r="U19" s="122"/>
      <c r="V19" s="119"/>
      <c r="W19" s="119"/>
    </row>
    <row r="20" spans="1:23" s="125" customFormat="1" x14ac:dyDescent="0.3">
      <c r="A20" s="128" t="s">
        <v>12</v>
      </c>
      <c r="B20" s="119" t="e">
        <f t="shared" ref="B20:O20" si="3">B18-B7</f>
        <v>#VALUE!</v>
      </c>
      <c r="C20" s="119">
        <f t="shared" si="3"/>
        <v>0</v>
      </c>
      <c r="D20" s="119">
        <f t="shared" si="3"/>
        <v>0</v>
      </c>
      <c r="E20" s="119">
        <f t="shared" si="3"/>
        <v>0</v>
      </c>
      <c r="F20" s="119">
        <f t="shared" si="3"/>
        <v>0</v>
      </c>
      <c r="G20" s="119">
        <f t="shared" si="3"/>
        <v>0</v>
      </c>
      <c r="H20" s="119">
        <f t="shared" si="3"/>
        <v>0</v>
      </c>
      <c r="I20" s="119">
        <f t="shared" si="3"/>
        <v>0</v>
      </c>
      <c r="J20" s="119">
        <f t="shared" si="3"/>
        <v>0</v>
      </c>
      <c r="K20" s="119">
        <f t="shared" si="3"/>
        <v>0</v>
      </c>
      <c r="L20" s="119">
        <f t="shared" si="3"/>
        <v>0</v>
      </c>
      <c r="M20" s="119">
        <f t="shared" si="3"/>
        <v>0</v>
      </c>
      <c r="N20" s="120">
        <f t="shared" si="3"/>
        <v>0</v>
      </c>
      <c r="O20" s="119">
        <f t="shared" si="3"/>
        <v>0</v>
      </c>
      <c r="P20" s="119">
        <f t="shared" ref="P20" si="4">P18-P7</f>
        <v>0</v>
      </c>
      <c r="Q20" s="122">
        <f>Q18-Q7</f>
        <v>0</v>
      </c>
      <c r="R20" s="122">
        <f>R18-R7</f>
        <v>0</v>
      </c>
      <c r="S20" s="119">
        <f>S18-S7</f>
        <v>0</v>
      </c>
      <c r="T20" s="119">
        <f>T18-T7</f>
        <v>0</v>
      </c>
      <c r="U20" s="122">
        <f t="shared" ref="U20:W20" si="5">U18-U7</f>
        <v>0</v>
      </c>
      <c r="V20" s="119">
        <f t="shared" si="5"/>
        <v>0</v>
      </c>
      <c r="W20" s="119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229" t="s">
        <v>48</v>
      </c>
      <c r="N22" s="229"/>
      <c r="O22" s="229"/>
      <c r="P22" s="229"/>
      <c r="Q22" s="229"/>
      <c r="R22" s="229"/>
      <c r="S22" s="229"/>
      <c r="T22" s="229"/>
      <c r="U22" s="229"/>
    </row>
    <row r="23" spans="1:23" ht="16.2" thickBot="1" x14ac:dyDescent="0.35">
      <c r="D23" s="6"/>
      <c r="J23"/>
      <c r="L23"/>
      <c r="M23" s="14" t="s">
        <v>13</v>
      </c>
      <c r="N23" s="217" t="inlineStr">
        <is>
          <t xml:space="preserve">27-05-2026</t>
        </is>
      </c>
      <c r="O23" s="218"/>
      <c r="P23" s="218"/>
      <c r="Q23" s="218"/>
      <c r="R23" s="218"/>
      <c r="S23" s="219"/>
      <c r="T23" s="142" t="s">
        <v>38</v>
      </c>
      <c r="U23" s="115" t="e">
        <f>B6+C6+D6+E6+F6+G6+H6+I6+J6+K6+L6+M6+N6+O6+P6+Q6+R6+S6+T6+U6+V6+W6+#REF!+#REF!+#REF!+#REF!+#REF!+#REF!+#REF!+#REF!+#REF!+#REF!</f>
        <v>#VALUE!</v>
      </c>
      <c r="W23" s="96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220" t="s">
        <v>49</v>
      </c>
      <c r="O24" s="221"/>
      <c r="P24" s="221"/>
      <c r="Q24" s="221"/>
      <c r="R24" s="221"/>
      <c r="S24" s="222"/>
      <c r="T24" s="117" t="s">
        <v>11</v>
      </c>
      <c r="U24" s="116" t="e">
        <f>B7+C7+D7+E7+F7+G7+H7+I7+J7+K7+L7+M7+N7+O7+P7+Q7+R7+S7+T7+U7+V7+W7+#REF!+#REF!+#REF!+#REF!+#REF!+#REF!+#REF!+#REF!+#REF!+#REF!</f>
        <v>#VALUE!</v>
      </c>
      <c r="W24" s="141" t="e">
        <f>U23</f>
        <v>#VALUE!</v>
      </c>
    </row>
    <row r="25" spans="1:23" x14ac:dyDescent="0.3">
      <c r="B25" s="2"/>
      <c r="C25" s="111"/>
      <c r="D25" s="3" t="s">
        <v>15</v>
      </c>
      <c r="E25" s="4"/>
      <c r="J25"/>
      <c r="L25"/>
      <c r="M25" s="223" t="s">
        <v>16</v>
      </c>
      <c r="N25" s="224"/>
      <c r="O25" s="225"/>
      <c r="P25" s="226"/>
      <c r="Q25" s="201">
        <v>250000</v>
      </c>
      <c r="R25" s="202"/>
      <c r="S25" s="203"/>
      <c r="T25" s="227" t="s">
        <v>17</v>
      </c>
      <c r="U25" s="228"/>
      <c r="V25" s="13"/>
      <c r="W25" s="86" t="s">
        <v>45</v>
      </c>
    </row>
    <row r="26" spans="1:23" x14ac:dyDescent="0.3">
      <c r="E26" s="4"/>
      <c r="J26"/>
      <c r="L26"/>
      <c r="M26" s="83" t="s">
        <v>53</v>
      </c>
      <c r="N26" s="84"/>
      <c r="O26" s="151"/>
      <c r="P26" s="152"/>
      <c r="Q26" s="201" t="e">
        <f>B10+C10+D10+E10+F10+G10+H10+I10+J10+K10+L10+N10+O10+P10+Q10+R10+S10+T10+U10+V10+W10+#REF!+#REF!</f>
        <v>#REF!</v>
      </c>
      <c r="R26" s="202"/>
      <c r="S26" s="203"/>
      <c r="T26" s="149"/>
      <c r="U26" s="150"/>
      <c r="V26" s="13"/>
      <c r="W26" s="86"/>
    </row>
    <row r="27" spans="1:23" x14ac:dyDescent="0.3">
      <c r="I27" s="118" t="str">
        <f>B1</f>
        <v>{{extraction.conductor.valor}}</v>
      </c>
      <c r="J27" s="162">
        <f>B9</f>
        <v>0</v>
      </c>
      <c r="L27"/>
      <c r="M27" s="83" t="s">
        <v>18</v>
      </c>
      <c r="N27" s="84"/>
      <c r="O27" s="196"/>
      <c r="P27" s="197"/>
      <c r="Q27" s="201">
        <v>615280</v>
      </c>
      <c r="R27" s="202"/>
      <c r="S27" s="203"/>
      <c r="T27" s="215" t="s">
        <v>19</v>
      </c>
      <c r="U27" s="216"/>
      <c r="V27" s="19"/>
      <c r="W27" s="97" t="e">
        <f>U24</f>
        <v>#VALUE!</v>
      </c>
    </row>
    <row r="28" spans="1:23" x14ac:dyDescent="0.3">
      <c r="I28" s="118">
        <f>C1</f>
        <v>0</v>
      </c>
      <c r="J28" s="162">
        <f>C9</f>
        <v>0</v>
      </c>
      <c r="L28"/>
      <c r="M28" s="194" t="s">
        <v>20</v>
      </c>
      <c r="N28" s="195"/>
      <c r="O28" s="196"/>
      <c r="P28" s="197"/>
      <c r="Q28" s="201">
        <v>59457</v>
      </c>
      <c r="R28" s="202"/>
      <c r="S28" s="203"/>
      <c r="T28" s="213" t="s">
        <v>39</v>
      </c>
      <c r="U28" s="214"/>
      <c r="V28" s="21"/>
      <c r="W28" s="13"/>
    </row>
    <row r="29" spans="1:23" x14ac:dyDescent="0.3">
      <c r="I29" s="118">
        <f>D1</f>
        <v>0</v>
      </c>
      <c r="J29" s="162">
        <f>D9</f>
        <v>0</v>
      </c>
      <c r="K29" s="24"/>
      <c r="L29"/>
      <c r="M29" s="194" t="s">
        <v>21</v>
      </c>
      <c r="N29" s="195"/>
      <c r="O29" s="196"/>
      <c r="P29" s="197"/>
      <c r="Q29" s="201">
        <v>0</v>
      </c>
      <c r="R29" s="202"/>
      <c r="S29" s="203"/>
      <c r="T29" s="209" t="s">
        <v>40</v>
      </c>
      <c r="U29" s="210"/>
      <c r="W29" s="98" t="e">
        <f>U23</f>
        <v>#VALUE!</v>
      </c>
    </row>
    <row r="30" spans="1:23" x14ac:dyDescent="0.3">
      <c r="A30" s="1"/>
      <c r="I30" s="118">
        <f>E1</f>
        <v>0</v>
      </c>
      <c r="J30" s="162">
        <f>E9</f>
        <v>0</v>
      </c>
      <c r="L30"/>
      <c r="M30" s="194" t="s">
        <v>22</v>
      </c>
      <c r="N30" s="195"/>
      <c r="O30" s="196"/>
      <c r="P30" s="208"/>
      <c r="Q30" s="201">
        <v>0</v>
      </c>
      <c r="R30" s="202"/>
      <c r="S30" s="203"/>
      <c r="T30" s="211" t="s">
        <v>41</v>
      </c>
      <c r="U30" s="212"/>
      <c r="V30" s="24"/>
      <c r="W30" s="21" t="str">
        <f>Q34</f>
        <v>{{extraction.rendicion.total.valor}}</v>
      </c>
    </row>
    <row r="31" spans="1:23" x14ac:dyDescent="0.3">
      <c r="A31" s="1"/>
      <c r="I31" s="118">
        <f>F1</f>
        <v>0</v>
      </c>
      <c r="J31" s="162">
        <f>F9</f>
        <v>0</v>
      </c>
      <c r="L31"/>
      <c r="M31" s="194" t="s">
        <v>23</v>
      </c>
      <c r="N31" s="195"/>
      <c r="O31" s="196"/>
      <c r="P31" s="197"/>
      <c r="Q31" s="201">
        <v>101150</v>
      </c>
      <c r="R31" s="202"/>
      <c r="S31" s="203"/>
      <c r="T31" s="28"/>
      <c r="U31" s="26"/>
    </row>
    <row r="32" spans="1:23" x14ac:dyDescent="0.3">
      <c r="A32" s="1"/>
      <c r="I32" s="118">
        <f>G1</f>
        <v>0</v>
      </c>
      <c r="J32" s="162">
        <f>G9</f>
        <v>0</v>
      </c>
      <c r="L32"/>
      <c r="M32" s="194" t="s">
        <v>24</v>
      </c>
      <c r="N32" s="195"/>
      <c r="O32" s="196"/>
      <c r="P32" s="197"/>
      <c r="Q32" s="201">
        <v>11095</v>
      </c>
      <c r="R32" s="202"/>
      <c r="S32" s="203"/>
      <c r="T32" s="28"/>
      <c r="U32" s="26"/>
      <c r="W32" s="86" t="s">
        <v>46</v>
      </c>
    </row>
    <row r="33" spans="1:23" x14ac:dyDescent="0.3">
      <c r="A33" s="1"/>
      <c r="I33" s="118">
        <f>H1</f>
        <v>0</v>
      </c>
      <c r="J33" s="162">
        <f>H9</f>
        <v>0</v>
      </c>
      <c r="L33"/>
      <c r="M33" s="83" t="s">
        <v>25</v>
      </c>
      <c r="N33" s="85"/>
      <c r="O33" s="196"/>
      <c r="P33" s="197"/>
      <c r="Q33" s="201">
        <v>0</v>
      </c>
      <c r="R33" s="202"/>
      <c r="S33" s="203"/>
      <c r="T33" s="28"/>
      <c r="U33" s="26"/>
      <c r="W33" s="138" t="e">
        <f>W30-W27</f>
        <v>#VALUE!</v>
      </c>
    </row>
    <row r="34" spans="1:23" ht="15" thickBot="1" x14ac:dyDescent="0.35">
      <c r="A34" s="1"/>
      <c r="I34" s="118">
        <f>I1</f>
        <v>0</v>
      </c>
      <c r="J34" s="162">
        <f>I9</f>
        <v>0</v>
      </c>
      <c r="L34" s="8"/>
      <c r="M34" s="204" t="s">
        <v>26</v>
      </c>
      <c r="N34" s="205"/>
      <c r="O34" s="206"/>
      <c r="P34" s="207"/>
      <c r="Q34" s="201">
        <v>1036982</v>
      </c>
      <c r="R34" s="202"/>
      <c r="S34" s="203"/>
      <c r="T34" s="30"/>
      <c r="U34" s="29"/>
      <c r="V34" s="1"/>
      <c r="W34" s="24"/>
    </row>
    <row r="35" spans="1:23" ht="15" thickBot="1" x14ac:dyDescent="0.35">
      <c r="A35" s="1"/>
      <c r="D35" s="31"/>
      <c r="I35" s="45">
        <f>J1</f>
        <v>0</v>
      </c>
      <c r="J35" s="27">
        <f>J9</f>
        <v>0</v>
      </c>
      <c r="L35"/>
      <c r="M35" s="198" t="s">
        <v>27</v>
      </c>
      <c r="N35" s="199"/>
      <c r="O35" s="200"/>
      <c r="P35" s="184" t="s">
        <v>28</v>
      </c>
      <c r="Q35" s="186"/>
      <c r="R35" s="184" t="s">
        <v>29</v>
      </c>
      <c r="S35" s="186"/>
      <c r="T35" s="184" t="s">
        <v>30</v>
      </c>
      <c r="U35" s="186"/>
      <c r="V35" s="1"/>
      <c r="W35" s="1"/>
    </row>
    <row r="36" spans="1:23" ht="15" thickBot="1" x14ac:dyDescent="0.35">
      <c r="B36" s="9"/>
      <c r="I36" s="45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5">
        <f>L1</f>
        <v>0</v>
      </c>
      <c r="J37" s="27">
        <f>L9</f>
        <v>0</v>
      </c>
      <c r="K37" s="148">
        <f>SUM(O41)</f>
        <v>0</v>
      </c>
      <c r="L37"/>
      <c r="M37" s="37" t="inlineStr">
        <is>
          <t xml:space="preserve">27-05-2026</t>
        </is>
      </c>
      <c r="N37" s="38" t="inlineStr">
        <is>
          <t xml:space="preserve">Bco de chile</t>
        </is>
      </c>
      <c r="O37" s="39">
        <v>100000</v>
      </c>
      <c r="P37" s="40"/>
      <c r="Q37" s="81"/>
      <c r="R37" s="41"/>
      <c r="S37" s="82"/>
      <c r="T37" s="42"/>
      <c r="U37" s="78"/>
      <c r="V37" s="1"/>
      <c r="W37" s="18" t="s">
        <v>14</v>
      </c>
    </row>
    <row r="38" spans="1:23" ht="15" thickBot="1" x14ac:dyDescent="0.35">
      <c r="B38" s="20"/>
      <c r="C38" s="32"/>
      <c r="I38" s="134"/>
      <c r="J38"/>
      <c r="L38" s="114">
        <v>2</v>
      </c>
      <c r="M38" s="182" t="s">
        <v>42</v>
      </c>
      <c r="N38" s="183"/>
      <c r="O38" s="46">
        <v>615280</v>
      </c>
      <c r="P38" s="42"/>
      <c r="Q38" s="79"/>
      <c r="R38" s="44"/>
      <c r="S38" s="77"/>
      <c r="T38" s="42"/>
      <c r="U38" s="80"/>
      <c r="V38" s="1"/>
      <c r="W38" s="1"/>
    </row>
    <row r="39" spans="1:23" x14ac:dyDescent="0.3">
      <c r="B39" s="20"/>
      <c r="C39" s="32"/>
      <c r="I39" s="134"/>
      <c r="J39"/>
      <c r="K39" s="24" t="e">
        <f>Q27+Q28</f>
        <v>#VALUE!</v>
      </c>
      <c r="L39" s="114">
        <v>3</v>
      </c>
      <c r="M39" s="37"/>
      <c r="N39" s="38"/>
      <c r="O39" s="39"/>
      <c r="P39" s="42"/>
      <c r="Q39" s="72"/>
      <c r="R39" s="44"/>
      <c r="S39" s="77"/>
      <c r="T39" s="42"/>
      <c r="U39" s="72"/>
      <c r="V39" s="1"/>
      <c r="W39" s="1"/>
    </row>
    <row r="40" spans="1:23" ht="16.5" customHeight="1" x14ac:dyDescent="0.4">
      <c r="B40" s="20"/>
      <c r="C40" s="32"/>
      <c r="D40" s="48"/>
      <c r="E40" s="47"/>
      <c r="I40" s="134"/>
      <c r="J40"/>
      <c r="K40" s="24"/>
      <c r="L40" s="114">
        <v>4</v>
      </c>
      <c r="M40" s="37"/>
      <c r="N40" s="38"/>
      <c r="O40" s="39"/>
      <c r="P40" s="42"/>
      <c r="Q40" s="70"/>
      <c r="R40" s="44"/>
      <c r="S40" s="78"/>
      <c r="T40" s="42"/>
      <c r="U40" s="72"/>
      <c r="V40" s="1"/>
      <c r="W40" s="1"/>
    </row>
    <row r="41" spans="1:23" ht="15" customHeight="1" x14ac:dyDescent="0.3">
      <c r="B41" s="20"/>
      <c r="C41" s="32"/>
      <c r="D41" s="23"/>
      <c r="E41" s="23"/>
      <c r="I41" s="133"/>
      <c r="J41"/>
      <c r="K41" s="24"/>
      <c r="L41" s="114">
        <v>5</v>
      </c>
      <c r="M41" s="37"/>
      <c r="N41" s="38"/>
      <c r="O41" s="39"/>
      <c r="P41" s="42"/>
      <c r="Q41" s="70"/>
      <c r="R41" s="44"/>
      <c r="S41" s="78"/>
      <c r="T41" s="42"/>
      <c r="U41" s="72"/>
      <c r="V41" s="1"/>
      <c r="W41" s="1"/>
    </row>
    <row r="42" spans="1:23" ht="15" customHeight="1" x14ac:dyDescent="0.6">
      <c r="B42" s="20"/>
      <c r="C42" s="25"/>
      <c r="D42" s="23"/>
      <c r="E42" s="23"/>
      <c r="F42" s="51"/>
      <c r="I42" s="135"/>
      <c r="J42" s="57"/>
      <c r="L42" s="114">
        <v>6</v>
      </c>
      <c r="M42" s="37"/>
      <c r="N42" s="38"/>
      <c r="O42" s="39"/>
      <c r="P42" s="42"/>
      <c r="Q42" s="70"/>
      <c r="R42" s="44"/>
      <c r="S42" s="77"/>
      <c r="T42" s="42"/>
      <c r="U42" s="72"/>
      <c r="V42" s="1"/>
      <c r="W42" s="1"/>
    </row>
    <row r="43" spans="1:23" ht="15.75" customHeight="1" x14ac:dyDescent="0.6">
      <c r="A43" s="112"/>
      <c r="B43" s="20"/>
      <c r="C43" s="32"/>
      <c r="D43" s="191"/>
      <c r="E43" s="191"/>
      <c r="F43" s="51"/>
      <c r="G43" s="8"/>
      <c r="I43" s="136"/>
      <c r="J43" s="57"/>
      <c r="K43" s="24" t="e">
        <f>O38+O65</f>
        <v>#VALUE!</v>
      </c>
      <c r="L43" s="114">
        <v>7</v>
      </c>
      <c r="M43" s="37"/>
      <c r="N43" s="38"/>
      <c r="O43" s="39"/>
      <c r="P43" s="42"/>
      <c r="Q43" s="70"/>
      <c r="R43" s="42"/>
      <c r="S43" s="71"/>
      <c r="T43" s="42"/>
      <c r="U43" s="72"/>
    </row>
    <row r="44" spans="1:23" ht="15" customHeight="1" x14ac:dyDescent="0.3">
      <c r="A44" s="25"/>
      <c r="B44" s="20"/>
      <c r="C44" s="25"/>
      <c r="D44" s="191"/>
      <c r="E44" s="191"/>
      <c r="F44" s="52"/>
      <c r="H44" s="68"/>
      <c r="I44" s="13"/>
      <c r="J44" s="57"/>
      <c r="K44" s="24"/>
      <c r="L44" s="114">
        <v>8</v>
      </c>
      <c r="M44" s="37"/>
      <c r="N44" s="38"/>
      <c r="O44" s="39"/>
      <c r="P44" s="42"/>
      <c r="Q44" s="70"/>
      <c r="R44" s="42"/>
      <c r="S44" s="71"/>
      <c r="T44" s="42"/>
      <c r="U44" s="72"/>
    </row>
    <row r="45" spans="1:23" x14ac:dyDescent="0.3">
      <c r="A45" s="25"/>
      <c r="B45" s="25"/>
      <c r="C45" s="43"/>
      <c r="D45" s="191"/>
      <c r="E45" s="191"/>
      <c r="F45" s="23"/>
      <c r="H45" s="68"/>
      <c r="I45" s="13"/>
      <c r="J45" s="57"/>
      <c r="L45" s="114">
        <v>9</v>
      </c>
      <c r="M45" s="37"/>
      <c r="N45" s="38"/>
      <c r="O45" s="39"/>
      <c r="P45" s="42"/>
      <c r="Q45" s="70"/>
      <c r="R45" s="42"/>
      <c r="S45" s="76"/>
      <c r="T45" s="42"/>
      <c r="U45" s="72"/>
    </row>
    <row r="46" spans="1:23" x14ac:dyDescent="0.3">
      <c r="A46" s="20"/>
      <c r="B46" s="20"/>
      <c r="C46" s="43"/>
      <c r="D46" s="191"/>
      <c r="E46" s="191"/>
      <c r="F46" s="53"/>
      <c r="H46" s="68"/>
      <c r="I46" s="13"/>
      <c r="J46" s="57"/>
      <c r="L46" s="114">
        <v>10</v>
      </c>
      <c r="M46" s="37"/>
      <c r="N46" s="38"/>
      <c r="O46" s="39"/>
      <c r="P46" s="42"/>
      <c r="Q46" s="70"/>
      <c r="R46" s="42"/>
      <c r="S46" s="71"/>
      <c r="T46" s="42"/>
      <c r="U46" s="72"/>
    </row>
    <row r="47" spans="1:23" x14ac:dyDescent="0.3">
      <c r="A47" s="20"/>
      <c r="B47" s="20"/>
      <c r="C47" s="43"/>
      <c r="D47" s="191"/>
      <c r="E47" s="191"/>
      <c r="F47" s="17"/>
      <c r="G47" s="1"/>
      <c r="H47" s="68"/>
      <c r="I47" s="13"/>
      <c r="J47" s="57"/>
      <c r="K47" s="24" t="e">
        <f>Q34-U24</f>
        <v>#VALUE!</v>
      </c>
      <c r="L47" s="114">
        <v>11</v>
      </c>
      <c r="M47" s="37"/>
      <c r="N47" s="38"/>
      <c r="O47" s="39"/>
      <c r="P47" s="42"/>
      <c r="Q47" s="70"/>
      <c r="R47" s="42"/>
      <c r="S47" s="71"/>
      <c r="T47" s="42"/>
      <c r="U47" s="72"/>
    </row>
    <row r="48" spans="1:23" x14ac:dyDescent="0.3">
      <c r="A48" s="20"/>
      <c r="B48" s="20"/>
      <c r="C48" s="43"/>
      <c r="D48" s="191"/>
      <c r="E48" s="191"/>
      <c r="F48" s="23"/>
      <c r="G48" s="1"/>
      <c r="H48" s="68"/>
      <c r="I48" s="13"/>
      <c r="J48" s="57"/>
      <c r="L48" s="114">
        <v>12</v>
      </c>
      <c r="M48" s="37"/>
      <c r="N48" s="38"/>
      <c r="O48" s="39"/>
      <c r="P48" s="42"/>
      <c r="Q48" s="70"/>
      <c r="R48" s="42"/>
      <c r="S48" s="71"/>
      <c r="T48" s="44"/>
      <c r="U48" s="72"/>
    </row>
    <row r="49" spans="1:21" x14ac:dyDescent="0.3">
      <c r="A49" s="20"/>
      <c r="B49" s="20"/>
      <c r="C49" s="43"/>
      <c r="D49" s="191"/>
      <c r="E49" s="191"/>
      <c r="F49" s="23"/>
      <c r="G49" s="1"/>
      <c r="H49" s="50"/>
      <c r="I49" s="13"/>
      <c r="J49" s="57"/>
      <c r="L49" s="114">
        <v>13</v>
      </c>
      <c r="M49" s="37"/>
      <c r="N49" s="38"/>
      <c r="O49" s="39"/>
      <c r="P49" s="42"/>
      <c r="Q49" s="70"/>
      <c r="R49" s="42"/>
      <c r="S49" s="71"/>
      <c r="T49" s="44"/>
      <c r="U49" s="72"/>
    </row>
    <row r="50" spans="1:21" x14ac:dyDescent="0.3">
      <c r="A50" s="20"/>
      <c r="B50" s="20"/>
      <c r="C50" s="43"/>
      <c r="D50" s="23"/>
      <c r="E50" s="25"/>
      <c r="F50" s="23"/>
      <c r="G50" s="1"/>
      <c r="H50" s="50"/>
      <c r="I50" s="13"/>
      <c r="J50" s="57"/>
      <c r="L50" s="114">
        <v>14</v>
      </c>
      <c r="M50" s="37"/>
      <c r="N50" s="38"/>
      <c r="O50" s="39"/>
      <c r="P50" s="42"/>
      <c r="Q50" s="70"/>
      <c r="R50" s="42"/>
      <c r="S50" s="71"/>
      <c r="T50" s="44"/>
      <c r="U50" s="72"/>
    </row>
    <row r="51" spans="1:21" x14ac:dyDescent="0.3">
      <c r="A51" s="20"/>
      <c r="B51" s="20"/>
      <c r="C51" s="43"/>
      <c r="D51" s="176"/>
      <c r="E51" s="176"/>
      <c r="F51" s="23"/>
      <c r="G51" s="1"/>
      <c r="H51" s="50"/>
      <c r="I51" s="13"/>
      <c r="J51" s="57"/>
      <c r="L51" s="114">
        <v>15</v>
      </c>
      <c r="M51" s="37"/>
      <c r="N51" s="38"/>
      <c r="O51" s="39"/>
      <c r="P51" s="40"/>
      <c r="Q51" s="70"/>
      <c r="R51" s="42"/>
      <c r="S51" s="71"/>
      <c r="T51" s="44"/>
      <c r="U51" s="72"/>
    </row>
    <row r="52" spans="1:21" x14ac:dyDescent="0.3">
      <c r="A52" s="20"/>
      <c r="B52" s="55"/>
      <c r="C52" s="43"/>
      <c r="D52" s="179"/>
      <c r="E52" s="179"/>
      <c r="F52" s="23"/>
      <c r="G52" s="1"/>
      <c r="H52" s="50"/>
      <c r="I52" s="54"/>
      <c r="J52" s="57"/>
      <c r="L52" s="114">
        <v>16</v>
      </c>
      <c r="M52" s="37"/>
      <c r="N52" s="38"/>
      <c r="O52" s="39"/>
      <c r="P52" s="40"/>
      <c r="Q52" s="70"/>
      <c r="R52" s="42"/>
      <c r="S52" s="71"/>
      <c r="T52" s="44"/>
      <c r="U52" s="72"/>
    </row>
    <row r="53" spans="1:21" x14ac:dyDescent="0.3">
      <c r="A53" s="25"/>
      <c r="B53" s="55"/>
      <c r="C53" s="43"/>
      <c r="D53" s="175"/>
      <c r="E53" s="175"/>
      <c r="F53" s="23"/>
      <c r="G53" s="1"/>
      <c r="H53" s="50"/>
      <c r="I53" s="54"/>
      <c r="J53" s="57"/>
      <c r="L53" s="18"/>
      <c r="M53" s="37"/>
      <c r="N53" s="38"/>
      <c r="O53" s="39"/>
      <c r="P53" s="42"/>
      <c r="Q53" s="70"/>
      <c r="R53" s="42"/>
      <c r="S53" s="71"/>
      <c r="T53" s="44"/>
      <c r="U53" s="72"/>
    </row>
    <row r="54" spans="1:21" x14ac:dyDescent="0.3">
      <c r="A54" s="20"/>
      <c r="B54" s="55"/>
      <c r="C54" s="43"/>
      <c r="D54" s="175"/>
      <c r="E54" s="175"/>
      <c r="F54" s="23"/>
      <c r="G54" s="1"/>
      <c r="H54" s="50"/>
      <c r="I54" s="54"/>
      <c r="J54" s="57"/>
      <c r="L54" s="18"/>
      <c r="M54" s="37"/>
      <c r="N54" s="38"/>
      <c r="O54" s="39"/>
      <c r="P54" s="42"/>
      <c r="Q54" s="70"/>
      <c r="R54" s="42"/>
      <c r="S54" s="71"/>
      <c r="T54" s="44"/>
      <c r="U54" s="72"/>
    </row>
    <row r="55" spans="1:21" x14ac:dyDescent="0.3">
      <c r="A55" s="20"/>
      <c r="B55" s="55"/>
      <c r="C55" s="43"/>
      <c r="D55" s="22"/>
      <c r="E55" s="22"/>
      <c r="F55" s="23"/>
      <c r="G55" s="1"/>
      <c r="H55" s="50"/>
      <c r="I55" s="54"/>
      <c r="J55" s="57"/>
      <c r="L55" s="18"/>
      <c r="M55" s="37"/>
      <c r="N55" s="38"/>
      <c r="O55" s="39"/>
      <c r="P55" s="42"/>
      <c r="Q55" s="70"/>
      <c r="R55" s="42"/>
      <c r="S55" s="71"/>
      <c r="T55" s="44"/>
      <c r="U55" s="72"/>
    </row>
    <row r="56" spans="1:21" x14ac:dyDescent="0.3">
      <c r="A56" s="20"/>
      <c r="B56"/>
      <c r="C56" s="43"/>
      <c r="D56" s="22"/>
      <c r="E56" s="22"/>
      <c r="F56" s="23"/>
      <c r="G56" s="1"/>
      <c r="H56" s="50"/>
      <c r="I56" s="54"/>
      <c r="J56" s="57"/>
      <c r="L56" s="18"/>
      <c r="M56" s="37"/>
      <c r="N56" s="38"/>
      <c r="O56" s="39"/>
      <c r="P56" s="42"/>
      <c r="Q56" s="70"/>
      <c r="R56" s="42"/>
      <c r="S56" s="71"/>
      <c r="T56" s="44"/>
      <c r="U56" s="72"/>
    </row>
    <row r="57" spans="1:21" x14ac:dyDescent="0.3">
      <c r="A57" s="20"/>
      <c r="B57"/>
      <c r="C57" s="43"/>
      <c r="D57" s="22"/>
      <c r="E57" s="22"/>
      <c r="F57" s="23"/>
      <c r="G57" s="1"/>
      <c r="H57" s="50"/>
      <c r="I57" s="54"/>
      <c r="J57" s="57"/>
      <c r="L57" s="18"/>
      <c r="M57" s="37"/>
      <c r="N57" s="38"/>
      <c r="O57" s="39"/>
      <c r="P57" s="42"/>
      <c r="Q57" s="70"/>
      <c r="R57" s="42"/>
      <c r="S57" s="71"/>
      <c r="T57" s="44"/>
      <c r="U57" s="72"/>
    </row>
    <row r="58" spans="1:21" x14ac:dyDescent="0.3">
      <c r="A58" s="20"/>
      <c r="B58"/>
      <c r="C58" s="43"/>
      <c r="D58" s="22"/>
      <c r="E58" s="22"/>
      <c r="F58" s="23"/>
      <c r="G58" s="1"/>
      <c r="H58" s="50"/>
      <c r="I58" s="54"/>
      <c r="J58" s="57"/>
      <c r="L58" s="18"/>
      <c r="M58" s="37"/>
      <c r="N58" s="38"/>
      <c r="O58" s="39"/>
      <c r="P58" s="42"/>
      <c r="Q58" s="70"/>
      <c r="R58" s="42"/>
      <c r="S58" s="71"/>
      <c r="T58" s="44"/>
      <c r="U58" s="72"/>
    </row>
    <row r="59" spans="1:21" x14ac:dyDescent="0.3">
      <c r="A59" s="20"/>
      <c r="B59"/>
      <c r="C59" s="43"/>
      <c r="D59" s="22"/>
      <c r="E59" s="22"/>
      <c r="F59" s="23"/>
      <c r="G59" s="1"/>
      <c r="H59" s="50"/>
      <c r="I59" s="54"/>
      <c r="J59" s="57"/>
      <c r="L59" s="18"/>
      <c r="M59" s="37"/>
      <c r="N59" s="38"/>
      <c r="O59" s="39"/>
      <c r="P59" s="42"/>
      <c r="Q59" s="70"/>
      <c r="R59" s="42"/>
      <c r="S59" s="71"/>
      <c r="T59" s="44"/>
      <c r="U59" s="72"/>
    </row>
    <row r="60" spans="1:21" x14ac:dyDescent="0.3">
      <c r="A60" s="25"/>
      <c r="B60"/>
      <c r="C60" s="43"/>
      <c r="D60" s="175"/>
      <c r="E60" s="175"/>
      <c r="F60" s="23"/>
      <c r="G60" s="1"/>
      <c r="H60" s="50"/>
      <c r="I60" s="54"/>
      <c r="J60" s="57"/>
      <c r="L60" s="18"/>
      <c r="M60" s="37"/>
      <c r="N60" s="38"/>
      <c r="O60" s="39"/>
      <c r="P60" s="42"/>
      <c r="Q60" s="70"/>
      <c r="R60" s="42"/>
      <c r="S60" s="71"/>
      <c r="T60" s="44"/>
      <c r="U60" s="72"/>
    </row>
    <row r="61" spans="1:21" x14ac:dyDescent="0.3">
      <c r="A61" s="25"/>
      <c r="B61"/>
      <c r="C61" s="43"/>
      <c r="D61" s="22"/>
      <c r="E61" s="22"/>
      <c r="F61" s="23"/>
      <c r="G61" s="1"/>
      <c r="H61" s="50"/>
      <c r="I61" s="54"/>
      <c r="J61" s="57"/>
      <c r="L61" s="18"/>
      <c r="M61" s="37"/>
      <c r="N61" s="38"/>
      <c r="O61" s="39"/>
      <c r="P61" s="42"/>
      <c r="Q61" s="161"/>
      <c r="R61" s="93"/>
      <c r="S61" s="92"/>
      <c r="T61" s="44"/>
      <c r="U61" s="72"/>
    </row>
    <row r="62" spans="1:21" x14ac:dyDescent="0.3">
      <c r="A62" s="25"/>
      <c r="B62"/>
      <c r="C62" s="43"/>
      <c r="D62" s="22"/>
      <c r="E62" s="22"/>
      <c r="F62" s="23"/>
      <c r="G62" s="1"/>
      <c r="H62" s="50"/>
      <c r="I62" s="54"/>
      <c r="J62" s="57"/>
      <c r="L62" s="18"/>
      <c r="M62" s="37"/>
      <c r="N62" s="38"/>
      <c r="O62" s="39"/>
      <c r="P62" s="42"/>
      <c r="Q62" s="161"/>
      <c r="R62" s="93"/>
      <c r="S62" s="92"/>
      <c r="T62" s="44"/>
      <c r="U62" s="72"/>
    </row>
    <row r="63" spans="1:21" x14ac:dyDescent="0.3">
      <c r="A63" s="25"/>
      <c r="B63"/>
      <c r="C63" s="43"/>
      <c r="D63" s="22"/>
      <c r="E63" s="22"/>
      <c r="F63" s="23"/>
      <c r="G63" s="1"/>
      <c r="H63" s="50"/>
      <c r="I63" s="54"/>
      <c r="J63" s="57"/>
      <c r="L63" s="18"/>
      <c r="M63" s="37"/>
      <c r="N63" s="38"/>
      <c r="O63" s="39"/>
      <c r="P63" s="42"/>
      <c r="Q63" s="161"/>
      <c r="R63" s="93"/>
      <c r="S63" s="92"/>
      <c r="T63" s="44"/>
      <c r="U63" s="72"/>
    </row>
    <row r="64" spans="1:21" ht="15" thickBot="1" x14ac:dyDescent="0.35">
      <c r="A64" s="25"/>
      <c r="B64"/>
      <c r="C64" s="43"/>
      <c r="D64" s="175"/>
      <c r="E64" s="175"/>
      <c r="F64" s="23"/>
      <c r="G64" s="1"/>
      <c r="H64" s="50"/>
      <c r="I64" s="54"/>
      <c r="J64" s="57"/>
      <c r="L64" s="18"/>
      <c r="M64" s="37"/>
      <c r="N64" s="38"/>
      <c r="O64" s="39"/>
      <c r="P64" s="42"/>
      <c r="Q64" s="88"/>
      <c r="R64" s="93"/>
      <c r="S64" s="92"/>
      <c r="T64" s="44"/>
      <c r="U64" s="75"/>
    </row>
    <row r="65" spans="1:23" ht="16.5" customHeight="1" thickBot="1" x14ac:dyDescent="0.35">
      <c r="A65" s="25"/>
      <c r="B65"/>
      <c r="C65" s="43"/>
      <c r="D65" s="175"/>
      <c r="E65" s="175"/>
      <c r="F65" s="20"/>
      <c r="G65" s="1"/>
      <c r="H65" s="50"/>
      <c r="I65" s="54"/>
      <c r="J65" s="57"/>
      <c r="L65"/>
      <c r="M65" s="182" t="s">
        <v>34</v>
      </c>
      <c r="N65" s="183"/>
      <c r="O65" s="46">
        <v>59457</v>
      </c>
      <c r="P65" s="56" t="s">
        <v>11</v>
      </c>
      <c r="Q65" s="46">
        <v>0</v>
      </c>
      <c r="R65" s="56" t="s">
        <v>11</v>
      </c>
      <c r="S65" s="46">
        <v>101150</v>
      </c>
      <c r="T65" s="56" t="s">
        <v>11</v>
      </c>
      <c r="U65" s="46">
        <v>11095</v>
      </c>
    </row>
    <row r="66" spans="1:23" ht="15" thickBot="1" x14ac:dyDescent="0.35">
      <c r="A66" s="25"/>
      <c r="B66"/>
      <c r="C66" s="95"/>
      <c r="D66" s="175"/>
      <c r="E66" s="175"/>
      <c r="F66" s="23"/>
      <c r="G66" s="1"/>
      <c r="H66" s="50"/>
      <c r="I66" s="54"/>
      <c r="J66"/>
      <c r="L66"/>
      <c r="M66" s="58"/>
      <c r="N66" s="59"/>
      <c r="O66" s="74"/>
      <c r="P66" s="23"/>
      <c r="Q66" s="73"/>
      <c r="R66" s="74"/>
      <c r="S66" s="74"/>
      <c r="T66" s="6"/>
    </row>
    <row r="67" spans="1:23" ht="16.2" thickBot="1" x14ac:dyDescent="0.35">
      <c r="A67" s="25"/>
      <c r="B67"/>
      <c r="C67" s="25"/>
      <c r="D67" s="22"/>
      <c r="E67" s="22"/>
      <c r="F67" s="23"/>
      <c r="G67" s="1"/>
      <c r="H67" s="50"/>
      <c r="I67" s="54"/>
      <c r="J67"/>
      <c r="L67"/>
      <c r="M67" s="184" t="s">
        <v>47</v>
      </c>
      <c r="N67" s="185"/>
      <c r="O67" s="186"/>
      <c r="P67" s="192"/>
      <c r="Q67" s="193"/>
      <c r="R67" s="184" t="s">
        <v>37</v>
      </c>
      <c r="S67" s="185"/>
      <c r="T67" s="187" t="str">
        <f>Q25</f>
        <v>{{extraction.rendicion.efectivo_total.valor}}</v>
      </c>
      <c r="U67" s="188"/>
    </row>
    <row r="68" spans="1:23" ht="15.75" customHeight="1" thickBot="1" x14ac:dyDescent="0.35">
      <c r="A68" s="25"/>
      <c r="B68"/>
      <c r="C68" s="25"/>
      <c r="D68" s="175"/>
      <c r="E68" s="175"/>
      <c r="F68" s="67"/>
      <c r="G68" s="1"/>
      <c r="H68" s="50"/>
      <c r="I68" s="54"/>
      <c r="J68"/>
      <c r="L68"/>
      <c r="M68" s="60"/>
      <c r="N68" s="87"/>
      <c r="O68" s="87"/>
      <c r="P68" s="61"/>
      <c r="Q68" s="62"/>
      <c r="R68" s="62"/>
      <c r="S68" s="62"/>
      <c r="T68" s="60"/>
      <c r="U68" s="60"/>
    </row>
    <row r="69" spans="1:23" ht="15.75" customHeight="1" thickBot="1" x14ac:dyDescent="0.35">
      <c r="A69" s="25"/>
      <c r="B69" s="95"/>
      <c r="C69" s="25"/>
      <c r="D69" s="175"/>
      <c r="E69" s="175"/>
      <c r="F69" s="67"/>
      <c r="G69" s="1"/>
      <c r="H69" s="50"/>
      <c r="I69" s="54"/>
      <c r="J69"/>
      <c r="L69"/>
      <c r="M69" s="182" t="s">
        <v>35</v>
      </c>
      <c r="N69" s="189"/>
      <c r="O69" s="189"/>
      <c r="P69" s="189"/>
      <c r="Q69" s="189"/>
      <c r="R69" s="189"/>
      <c r="S69" s="189"/>
      <c r="T69" s="189"/>
      <c r="U69" s="190"/>
      <c r="V69" s="55"/>
    </row>
    <row r="70" spans="1:23" ht="15" thickBot="1" x14ac:dyDescent="0.35">
      <c r="A70" s="25"/>
      <c r="B70" s="20"/>
      <c r="C70" s="25"/>
      <c r="D70" s="175"/>
      <c r="E70" s="175"/>
      <c r="F70" s="67"/>
      <c r="G70" s="1"/>
      <c r="H70" s="50"/>
      <c r="I70" s="54"/>
      <c r="J70"/>
      <c r="L70" s="53" t="s">
        <v>59</v>
      </c>
      <c r="M70" s="156" t="s">
        <v>55</v>
      </c>
      <c r="N70" s="157"/>
      <c r="O70" s="157"/>
      <c r="P70" s="157" t="s">
        <v>56</v>
      </c>
      <c r="Q70" s="157"/>
      <c r="R70" s="157"/>
      <c r="S70" s="157"/>
      <c r="T70" s="157" t="s">
        <v>57</v>
      </c>
      <c r="U70" s="158" t="s">
        <v>60</v>
      </c>
      <c r="V70" s="170" t="s">
        <v>58</v>
      </c>
      <c r="W70" s="170" t="s">
        <v>50</v>
      </c>
    </row>
    <row r="71" spans="1:23" ht="15.6" x14ac:dyDescent="0.3">
      <c r="A71" s="25"/>
      <c r="B71" s="130"/>
      <c r="C71" s="25"/>
      <c r="D71" s="175"/>
      <c r="E71" s="175"/>
      <c r="F71" s="67"/>
      <c r="G71" s="1"/>
      <c r="H71" s="50"/>
      <c r="I71" s="54"/>
      <c r="J71" s="23"/>
      <c r="L71"/>
      <c r="M71" s="63"/>
      <c r="N71" s="64"/>
      <c r="O71" s="169" t="s">
        <v>43</v>
      </c>
      <c r="P71" s="66"/>
      <c r="Q71" s="65"/>
      <c r="R71" s="180" t="s">
        <v>6</v>
      </c>
      <c r="S71" s="180"/>
      <c r="T71" s="159"/>
      <c r="U71" s="160"/>
      <c r="V71" s="55"/>
    </row>
    <row r="72" spans="1:23" ht="15.6" x14ac:dyDescent="0.3">
      <c r="B72" s="130"/>
      <c r="C72" s="23"/>
      <c r="D72" s="175"/>
      <c r="E72" s="175"/>
      <c r="F72" s="67"/>
      <c r="G72" s="1"/>
      <c r="H72" s="50"/>
      <c r="I72" s="54"/>
      <c r="J72" s="23"/>
      <c r="L72"/>
      <c r="M72" s="89"/>
      <c r="N72" s="90"/>
      <c r="O72" s="18" t="s">
        <v>43</v>
      </c>
      <c r="P72" s="91"/>
      <c r="Q72" s="60"/>
      <c r="R72" s="174" t="s">
        <v>6</v>
      </c>
      <c r="S72" s="174"/>
      <c r="T72" s="69"/>
      <c r="U72" s="100"/>
      <c r="V72" s="55"/>
    </row>
    <row r="73" spans="1:23" ht="15.6" x14ac:dyDescent="0.3">
      <c r="B73" s="130"/>
      <c r="C73" s="25"/>
      <c r="D73" s="175"/>
      <c r="E73" s="175"/>
      <c r="F73" s="67"/>
      <c r="G73" s="1"/>
      <c r="H73" s="50"/>
      <c r="I73" s="54"/>
      <c r="J73" s="23"/>
      <c r="L73"/>
      <c r="M73" s="89"/>
      <c r="N73" s="90"/>
      <c r="O73" s="18" t="s">
        <v>43</v>
      </c>
      <c r="P73" s="91"/>
      <c r="Q73" s="60"/>
      <c r="R73" s="174" t="s">
        <v>6</v>
      </c>
      <c r="S73" s="174"/>
      <c r="T73" s="69"/>
      <c r="U73" s="100"/>
      <c r="V73" s="55"/>
    </row>
    <row r="74" spans="1:23" ht="15.6" x14ac:dyDescent="0.3">
      <c r="B74" s="130"/>
      <c r="C74" s="23"/>
      <c r="D74" s="175"/>
      <c r="E74" s="175"/>
      <c r="F74" s="67"/>
      <c r="G74" s="1"/>
      <c r="H74" s="50"/>
      <c r="I74" s="54"/>
      <c r="J74" s="23"/>
      <c r="L74"/>
      <c r="M74" s="89"/>
      <c r="N74" s="90"/>
      <c r="O74" s="18" t="s">
        <v>43</v>
      </c>
      <c r="P74" s="91"/>
      <c r="Q74" s="60"/>
      <c r="R74" s="174" t="s">
        <v>6</v>
      </c>
      <c r="S74" s="174"/>
      <c r="T74" s="69"/>
      <c r="U74" s="100"/>
      <c r="V74" s="55"/>
    </row>
    <row r="75" spans="1:23" ht="15.6" x14ac:dyDescent="0.3">
      <c r="B75" s="130"/>
      <c r="C75" s="23"/>
      <c r="D75" s="175"/>
      <c r="E75" s="175"/>
      <c r="F75" s="67"/>
      <c r="G75" s="1"/>
      <c r="H75" s="50"/>
      <c r="I75" s="54"/>
      <c r="J75" s="23"/>
      <c r="L75"/>
      <c r="M75" s="89"/>
      <c r="N75" s="90"/>
      <c r="O75" s="18" t="s">
        <v>43</v>
      </c>
      <c r="P75" s="91"/>
      <c r="Q75" s="60"/>
      <c r="R75" s="174" t="s">
        <v>6</v>
      </c>
      <c r="S75" s="174"/>
      <c r="T75" s="69"/>
      <c r="U75" s="100"/>
      <c r="V75" s="55"/>
    </row>
    <row r="76" spans="1:23" ht="15.6" x14ac:dyDescent="0.3">
      <c r="B76" s="130"/>
      <c r="C76" s="25"/>
      <c r="D76" s="175"/>
      <c r="E76" s="175"/>
      <c r="F76" s="67"/>
      <c r="G76" s="1"/>
      <c r="H76" s="50"/>
      <c r="I76" s="54"/>
      <c r="J76" s="23"/>
      <c r="L76"/>
      <c r="M76" s="89"/>
      <c r="N76" s="90"/>
      <c r="O76" s="18" t="s">
        <v>43</v>
      </c>
      <c r="P76" s="91"/>
      <c r="Q76" s="60"/>
      <c r="R76" s="174" t="s">
        <v>6</v>
      </c>
      <c r="S76" s="174"/>
      <c r="T76" s="69"/>
      <c r="U76" s="100"/>
      <c r="V76" s="55"/>
    </row>
    <row r="77" spans="1:23" ht="15.6" x14ac:dyDescent="0.3">
      <c r="A77" s="25"/>
      <c r="B77" s="130"/>
      <c r="C77" s="25"/>
      <c r="D77" s="175"/>
      <c r="E77" s="175"/>
      <c r="F77" s="67"/>
      <c r="G77" s="1"/>
      <c r="H77" s="50"/>
      <c r="J77" s="23"/>
      <c r="L77"/>
      <c r="M77" s="89"/>
      <c r="N77" s="90"/>
      <c r="O77" s="18" t="s">
        <v>43</v>
      </c>
      <c r="P77" s="91"/>
      <c r="Q77" s="60"/>
      <c r="R77" s="174" t="s">
        <v>6</v>
      </c>
      <c r="S77" s="174"/>
      <c r="T77" s="69"/>
      <c r="U77" s="100"/>
      <c r="V77" s="55"/>
    </row>
    <row r="78" spans="1:23" ht="15.6" x14ac:dyDescent="0.3">
      <c r="A78" s="20"/>
      <c r="B78" s="130"/>
      <c r="C78" s="25"/>
      <c r="D78" s="175"/>
      <c r="E78" s="175"/>
      <c r="F78" s="67"/>
      <c r="G78" s="1"/>
      <c r="H78" s="50"/>
      <c r="J78" s="23"/>
      <c r="L78"/>
      <c r="M78" s="89"/>
      <c r="N78" s="90"/>
      <c r="O78" s="18" t="s">
        <v>43</v>
      </c>
      <c r="P78" s="91"/>
      <c r="Q78" s="60"/>
      <c r="R78" s="174" t="s">
        <v>6</v>
      </c>
      <c r="S78" s="174"/>
      <c r="T78" s="69"/>
      <c r="U78" s="100"/>
      <c r="V78" s="55"/>
    </row>
    <row r="79" spans="1:23" ht="15.6" x14ac:dyDescent="0.3">
      <c r="A79" s="53"/>
      <c r="B79" s="130"/>
      <c r="C79" s="94"/>
      <c r="D79" s="175"/>
      <c r="E79" s="175"/>
      <c r="F79" s="67"/>
      <c r="G79" s="1"/>
      <c r="H79" s="50"/>
      <c r="J79" s="23"/>
      <c r="L79"/>
      <c r="M79" s="89"/>
      <c r="N79" s="90"/>
      <c r="O79" s="18" t="s">
        <v>43</v>
      </c>
      <c r="P79" s="91"/>
      <c r="Q79" s="60"/>
      <c r="R79" s="174" t="s">
        <v>6</v>
      </c>
      <c r="S79" s="174"/>
      <c r="T79" s="69"/>
      <c r="U79" s="100"/>
      <c r="V79" s="55"/>
    </row>
    <row r="80" spans="1:23" ht="15.6" x14ac:dyDescent="0.3">
      <c r="A80" s="53"/>
      <c r="B80" s="130"/>
      <c r="C80" s="94"/>
      <c r="D80" s="23"/>
      <c r="E80" s="25"/>
      <c r="F80" s="67"/>
      <c r="H80" s="130"/>
      <c r="I80" s="25"/>
      <c r="K80" s="31"/>
      <c r="M80" s="89"/>
      <c r="N80" s="90"/>
      <c r="O80" s="18" t="s">
        <v>43</v>
      </c>
      <c r="P80" s="91"/>
      <c r="Q80" s="60"/>
      <c r="R80" s="174" t="s">
        <v>6</v>
      </c>
      <c r="S80" s="174"/>
      <c r="T80" s="69"/>
      <c r="U80" s="100"/>
      <c r="V80" s="55"/>
    </row>
    <row r="81" spans="1:22" ht="15.6" x14ac:dyDescent="0.3">
      <c r="B81" s="55"/>
      <c r="C81" s="94"/>
      <c r="D81" s="175"/>
      <c r="E81" s="175"/>
      <c r="F81" s="67"/>
      <c r="I81" s="130"/>
      <c r="L81"/>
      <c r="M81" s="89"/>
      <c r="N81" s="90"/>
      <c r="O81" s="18"/>
      <c r="P81" s="91"/>
      <c r="Q81" s="60"/>
      <c r="R81" s="174"/>
      <c r="S81" s="174"/>
      <c r="T81" s="69"/>
      <c r="U81" s="100"/>
      <c r="V81" s="55"/>
    </row>
    <row r="82" spans="1:22" ht="15.6" x14ac:dyDescent="0.3">
      <c r="A82" s="53"/>
      <c r="B82" s="94"/>
      <c r="C82" s="94"/>
      <c r="D82" s="23"/>
      <c r="E82" s="25"/>
      <c r="F82" s="67"/>
      <c r="I82" s="130"/>
      <c r="L82" s="49">
        <v>5017</v>
      </c>
      <c r="M82" s="89" t="s">
        <v>63</v>
      </c>
      <c r="N82" s="90"/>
      <c r="O82" s="18" t="s">
        <v>43</v>
      </c>
      <c r="P82" s="91"/>
      <c r="Q82" s="60"/>
      <c r="R82" s="174" t="s">
        <v>10</v>
      </c>
      <c r="S82" s="174"/>
      <c r="T82" s="69"/>
      <c r="U82" s="100"/>
      <c r="V82" s="55"/>
    </row>
    <row r="83" spans="1:22" ht="15.6" x14ac:dyDescent="0.3">
      <c r="A83" s="53"/>
      <c r="B83" s="94"/>
      <c r="D83" s="178"/>
      <c r="E83" s="179"/>
      <c r="F83" s="67"/>
      <c r="I83" s="130"/>
      <c r="L83" s="49"/>
      <c r="M83" s="89"/>
      <c r="N83" s="90"/>
      <c r="O83" s="18" t="s">
        <v>43</v>
      </c>
      <c r="P83" s="91"/>
      <c r="Q83" s="60"/>
      <c r="R83" s="174" t="s">
        <v>10</v>
      </c>
      <c r="S83" s="174"/>
      <c r="T83" s="69"/>
      <c r="U83" s="100"/>
      <c r="V83" s="55"/>
    </row>
    <row r="84" spans="1:22" ht="15.6" x14ac:dyDescent="0.3">
      <c r="A84" s="53"/>
      <c r="B84" s="94"/>
      <c r="D84" s="176"/>
      <c r="E84" s="176"/>
      <c r="F84" s="67"/>
      <c r="H84" s="130"/>
      <c r="I84" s="25"/>
      <c r="L84" s="49"/>
      <c r="M84" s="89"/>
      <c r="N84" s="90"/>
      <c r="O84" s="18" t="s">
        <v>43</v>
      </c>
      <c r="P84" s="91"/>
      <c r="Q84" s="60"/>
      <c r="R84" s="174" t="s">
        <v>10</v>
      </c>
      <c r="S84" s="174"/>
      <c r="T84" s="69"/>
      <c r="U84" s="100"/>
      <c r="V84" s="55"/>
    </row>
    <row r="85" spans="1:22" ht="15.6" x14ac:dyDescent="0.3">
      <c r="A85" s="53"/>
      <c r="B85" s="94"/>
      <c r="D85" s="176"/>
      <c r="E85" s="176"/>
      <c r="F85" s="67"/>
      <c r="H85" s="130"/>
      <c r="I85" s="25"/>
      <c r="L85" s="49"/>
      <c r="M85" s="89"/>
      <c r="N85" s="90"/>
      <c r="O85" s="18" t="s">
        <v>43</v>
      </c>
      <c r="P85" s="91"/>
      <c r="Q85" s="60"/>
      <c r="R85" s="174" t="s">
        <v>10</v>
      </c>
      <c r="S85" s="174"/>
      <c r="T85" s="69"/>
      <c r="U85" s="100"/>
      <c r="V85" s="55"/>
    </row>
    <row r="86" spans="1:22" ht="15.6" x14ac:dyDescent="0.3">
      <c r="A86" s="53"/>
      <c r="B86"/>
      <c r="D86" s="23"/>
      <c r="E86" s="25"/>
      <c r="F86" s="67"/>
      <c r="H86" s="55"/>
      <c r="I86" s="25"/>
      <c r="L86" s="49"/>
      <c r="M86" s="89"/>
      <c r="N86" s="90"/>
      <c r="O86" s="18" t="s">
        <v>43</v>
      </c>
      <c r="P86" s="91"/>
      <c r="Q86" s="60"/>
      <c r="R86" s="174" t="s">
        <v>10</v>
      </c>
      <c r="S86" s="174"/>
      <c r="T86" s="69"/>
      <c r="U86" s="100"/>
      <c r="V86" s="55"/>
    </row>
    <row r="87" spans="1:22" ht="15.6" x14ac:dyDescent="0.3">
      <c r="A87" s="23"/>
      <c r="B87"/>
      <c r="D87" s="94"/>
      <c r="E87" s="94"/>
      <c r="F87" s="23"/>
      <c r="H87" s="25"/>
      <c r="I87" s="25"/>
      <c r="L87" s="49"/>
      <c r="M87" s="89"/>
      <c r="N87" s="90"/>
      <c r="O87" s="18" t="s">
        <v>43</v>
      </c>
      <c r="P87" s="91"/>
      <c r="Q87" s="60"/>
      <c r="R87" s="174" t="s">
        <v>10</v>
      </c>
      <c r="S87" s="174"/>
      <c r="T87" s="69"/>
      <c r="U87" s="100"/>
      <c r="V87" s="55"/>
    </row>
    <row r="88" spans="1:22" ht="15.6" x14ac:dyDescent="0.3">
      <c r="A88" s="23"/>
      <c r="B88"/>
      <c r="D88" s="94"/>
      <c r="E88" s="94"/>
      <c r="F88" s="23"/>
      <c r="H88" s="25"/>
      <c r="L88" s="49"/>
      <c r="M88" s="89"/>
      <c r="N88" s="90"/>
      <c r="O88" s="18" t="s">
        <v>43</v>
      </c>
      <c r="P88" s="91"/>
      <c r="Q88" s="60"/>
      <c r="R88" s="174" t="s">
        <v>10</v>
      </c>
      <c r="S88" s="174"/>
      <c r="T88" s="69"/>
      <c r="U88" s="100"/>
      <c r="V88" s="55"/>
    </row>
    <row r="89" spans="1:22" ht="15.6" x14ac:dyDescent="0.3">
      <c r="A89" s="25"/>
      <c r="D89" s="94"/>
      <c r="E89" s="94"/>
      <c r="H89" s="25"/>
      <c r="L89" s="49"/>
      <c r="M89" s="89"/>
      <c r="N89" s="90"/>
      <c r="O89" s="18" t="s">
        <v>43</v>
      </c>
      <c r="P89" s="91"/>
      <c r="Q89" s="60"/>
      <c r="R89" s="174" t="s">
        <v>10</v>
      </c>
      <c r="S89" s="174"/>
      <c r="T89" s="69"/>
      <c r="U89" s="100"/>
      <c r="V89" s="55"/>
    </row>
    <row r="90" spans="1:22" ht="15.6" x14ac:dyDescent="0.3">
      <c r="A90" s="181"/>
      <c r="D90" s="94"/>
      <c r="E90" s="94"/>
      <c r="F90" s="20"/>
      <c r="H90" s="25"/>
      <c r="L90" s="49"/>
      <c r="M90" s="89"/>
      <c r="N90" s="90"/>
      <c r="O90" s="18" t="s">
        <v>43</v>
      </c>
      <c r="P90" s="91"/>
      <c r="Q90" s="60"/>
      <c r="R90" s="174" t="s">
        <v>10</v>
      </c>
      <c r="S90" s="174"/>
      <c r="T90" s="69"/>
      <c r="U90" s="100"/>
      <c r="V90" s="55"/>
    </row>
    <row r="91" spans="1:22" ht="15.6" x14ac:dyDescent="0.3">
      <c r="A91" s="181"/>
      <c r="L91" s="49"/>
      <c r="M91" s="89"/>
      <c r="N91" s="90"/>
      <c r="O91" s="18" t="s">
        <v>43</v>
      </c>
      <c r="P91" s="91"/>
      <c r="Q91" s="60"/>
      <c r="R91" s="174" t="s">
        <v>10</v>
      </c>
      <c r="S91" s="174"/>
      <c r="T91" s="69"/>
      <c r="U91" s="100"/>
      <c r="V91" s="55"/>
    </row>
    <row r="92" spans="1:22" ht="15.6" x14ac:dyDescent="0.3">
      <c r="A92" s="181"/>
      <c r="F92" s="23"/>
      <c r="L92" s="49"/>
      <c r="M92" s="89"/>
      <c r="N92" s="90"/>
      <c r="O92" s="18" t="s">
        <v>43</v>
      </c>
      <c r="P92" s="91"/>
      <c r="Q92" s="60"/>
      <c r="R92" s="174" t="s">
        <v>10</v>
      </c>
      <c r="S92" s="174"/>
      <c r="T92" s="69"/>
      <c r="U92" s="100"/>
      <c r="V92" s="55"/>
    </row>
    <row r="93" spans="1:22" ht="15.6" x14ac:dyDescent="0.3">
      <c r="A93" s="181"/>
      <c r="F93" s="23"/>
      <c r="L93" s="171"/>
      <c r="M93" s="89"/>
      <c r="N93" s="90"/>
      <c r="O93" s="18" t="s">
        <v>43</v>
      </c>
      <c r="P93" s="91"/>
      <c r="Q93" s="60"/>
      <c r="R93" s="174" t="s">
        <v>10</v>
      </c>
      <c r="S93" s="174"/>
      <c r="T93" s="69"/>
      <c r="U93" s="100"/>
      <c r="V93" s="55"/>
    </row>
    <row r="94" spans="1:22" ht="15.6" x14ac:dyDescent="0.3">
      <c r="L94" s="49"/>
      <c r="M94" s="89"/>
      <c r="N94" s="90"/>
      <c r="O94" s="18" t="s">
        <v>43</v>
      </c>
      <c r="P94" s="91"/>
      <c r="Q94" s="60"/>
      <c r="R94" s="174" t="s">
        <v>10</v>
      </c>
      <c r="S94" s="174"/>
      <c r="T94" s="69"/>
      <c r="U94" s="100"/>
      <c r="V94" s="55"/>
    </row>
    <row r="95" spans="1:22" ht="15.6" x14ac:dyDescent="0.3">
      <c r="L95" s="49"/>
      <c r="M95" s="89"/>
      <c r="N95" s="90"/>
      <c r="O95" s="18" t="s">
        <v>43</v>
      </c>
      <c r="P95" s="91"/>
      <c r="Q95" s="60"/>
      <c r="R95" s="174" t="s">
        <v>10</v>
      </c>
      <c r="S95" s="174"/>
      <c r="T95" s="69"/>
      <c r="U95" s="100"/>
      <c r="V95" s="55"/>
    </row>
    <row r="96" spans="1:22" ht="15.6" x14ac:dyDescent="0.3">
      <c r="L96" s="49"/>
      <c r="M96" s="89"/>
      <c r="N96" s="90"/>
      <c r="O96" s="18" t="s">
        <v>43</v>
      </c>
      <c r="P96" s="91"/>
      <c r="Q96" s="60"/>
      <c r="R96" s="174" t="s">
        <v>10</v>
      </c>
      <c r="S96" s="174"/>
      <c r="T96" s="69"/>
      <c r="U96" s="100"/>
      <c r="V96" s="55"/>
    </row>
    <row r="97" spans="12:22" ht="15.6" x14ac:dyDescent="0.3">
      <c r="L97" s="49"/>
      <c r="M97" s="89"/>
      <c r="N97" s="90"/>
      <c r="O97" s="18" t="s">
        <v>43</v>
      </c>
      <c r="P97" s="91"/>
      <c r="Q97" s="60"/>
      <c r="R97" s="174" t="s">
        <v>10</v>
      </c>
      <c r="S97" s="174"/>
      <c r="T97" s="69"/>
      <c r="U97" s="100"/>
      <c r="V97" s="55"/>
    </row>
    <row r="98" spans="12:22" ht="15.6" x14ac:dyDescent="0.3">
      <c r="L98" s="49"/>
      <c r="M98" s="89"/>
      <c r="N98" s="90"/>
      <c r="O98" s="18" t="s">
        <v>43</v>
      </c>
      <c r="P98" s="91"/>
      <c r="Q98" s="60"/>
      <c r="R98" s="174" t="s">
        <v>10</v>
      </c>
      <c r="S98" s="174"/>
      <c r="T98" s="69"/>
      <c r="U98" s="100"/>
      <c r="V98" s="55"/>
    </row>
    <row r="99" spans="12:22" ht="15.6" x14ac:dyDescent="0.3">
      <c r="L99" s="49"/>
      <c r="M99" s="89"/>
      <c r="N99" s="90"/>
      <c r="O99" s="18" t="s">
        <v>43</v>
      </c>
      <c r="P99" s="91"/>
      <c r="Q99" s="60"/>
      <c r="R99" s="174" t="s">
        <v>10</v>
      </c>
      <c r="S99" s="174"/>
      <c r="T99" s="69"/>
      <c r="U99" s="100"/>
      <c r="V99" s="55"/>
    </row>
    <row r="100" spans="12:22" ht="15.6" x14ac:dyDescent="0.3">
      <c r="L100" s="49"/>
      <c r="M100" s="89"/>
      <c r="N100" s="90"/>
      <c r="O100" s="18" t="s">
        <v>43</v>
      </c>
      <c r="P100" s="91"/>
      <c r="Q100" s="60"/>
      <c r="R100" s="174" t="s">
        <v>10</v>
      </c>
      <c r="S100" s="174"/>
      <c r="T100" s="69"/>
      <c r="U100" s="100"/>
      <c r="V100" s="55"/>
    </row>
    <row r="101" spans="12:22" ht="15.6" x14ac:dyDescent="0.3">
      <c r="L101" s="49"/>
      <c r="M101" s="89"/>
      <c r="N101" s="90"/>
      <c r="O101" s="18" t="s">
        <v>43</v>
      </c>
      <c r="P101" s="91"/>
      <c r="Q101" s="60"/>
      <c r="R101" s="174" t="s">
        <v>10</v>
      </c>
      <c r="S101" s="174"/>
      <c r="T101" s="69"/>
      <c r="U101" s="100"/>
      <c r="V101" s="55"/>
    </row>
    <row r="102" spans="12:22" ht="15.6" x14ac:dyDescent="0.3">
      <c r="L102" s="49"/>
      <c r="M102" s="89"/>
      <c r="N102" s="90"/>
      <c r="O102" s="18" t="s">
        <v>43</v>
      </c>
      <c r="P102" s="91"/>
      <c r="Q102" s="60"/>
      <c r="R102" s="174" t="s">
        <v>10</v>
      </c>
      <c r="S102" s="174"/>
      <c r="T102" s="69"/>
      <c r="U102" s="100"/>
      <c r="V102" s="55"/>
    </row>
    <row r="103" spans="12:22" ht="15.6" x14ac:dyDescent="0.3">
      <c r="L103" s="49"/>
      <c r="M103" s="89"/>
      <c r="N103" s="90"/>
      <c r="O103" s="18" t="s">
        <v>43</v>
      </c>
      <c r="P103" s="91"/>
      <c r="Q103" s="60"/>
      <c r="R103" s="174" t="s">
        <v>10</v>
      </c>
      <c r="S103" s="174"/>
      <c r="T103" s="69"/>
      <c r="U103" s="100"/>
      <c r="V103" s="55"/>
    </row>
    <row r="104" spans="12:22" ht="15.6" x14ac:dyDescent="0.3">
      <c r="L104" s="49"/>
      <c r="M104" s="89"/>
      <c r="N104" s="90"/>
      <c r="O104" s="18" t="s">
        <v>43</v>
      </c>
      <c r="P104" s="91"/>
      <c r="Q104" s="60"/>
      <c r="R104" s="174" t="s">
        <v>10</v>
      </c>
      <c r="S104" s="174"/>
      <c r="T104" s="69"/>
      <c r="U104" s="100"/>
      <c r="V104" s="55"/>
    </row>
    <row r="105" spans="12:22" ht="15.6" x14ac:dyDescent="0.3">
      <c r="L105" s="49"/>
      <c r="M105" s="89"/>
      <c r="N105" s="90"/>
      <c r="O105" s="18" t="s">
        <v>43</v>
      </c>
      <c r="P105" s="91"/>
      <c r="Q105" s="60"/>
      <c r="R105" s="174" t="s">
        <v>10</v>
      </c>
      <c r="S105" s="174"/>
      <c r="T105" s="69"/>
      <c r="U105" s="100"/>
      <c r="V105" s="55"/>
    </row>
    <row r="106" spans="12:22" ht="15.6" x14ac:dyDescent="0.3">
      <c r="L106" s="49"/>
      <c r="M106" s="89"/>
      <c r="N106" s="90"/>
      <c r="O106" s="18" t="s">
        <v>43</v>
      </c>
      <c r="P106" s="91"/>
      <c r="Q106" s="60"/>
      <c r="R106" s="174" t="s">
        <v>10</v>
      </c>
      <c r="S106" s="174"/>
      <c r="T106" s="69"/>
      <c r="U106" s="100"/>
      <c r="V106" s="55"/>
    </row>
    <row r="107" spans="12:22" ht="15.6" x14ac:dyDescent="0.3">
      <c r="L107" s="49"/>
      <c r="M107" s="89"/>
      <c r="N107" s="90"/>
      <c r="O107" s="18" t="s">
        <v>43</v>
      </c>
      <c r="P107" s="91"/>
      <c r="Q107" s="60"/>
      <c r="R107" s="174" t="s">
        <v>10</v>
      </c>
      <c r="S107" s="174"/>
      <c r="T107" s="69"/>
      <c r="U107" s="100"/>
      <c r="V107" s="55"/>
    </row>
    <row r="108" spans="12:22" ht="15.6" x14ac:dyDescent="0.3">
      <c r="L108" s="49"/>
      <c r="M108" s="89"/>
      <c r="N108" s="90"/>
      <c r="O108" s="18" t="s">
        <v>43</v>
      </c>
      <c r="P108" s="91"/>
      <c r="Q108" s="60"/>
      <c r="R108" s="174" t="s">
        <v>10</v>
      </c>
      <c r="S108" s="174"/>
      <c r="T108" s="69"/>
      <c r="U108" s="100"/>
      <c r="V108" s="55"/>
    </row>
    <row r="109" spans="12:22" ht="15.6" x14ac:dyDescent="0.3">
      <c r="L109" s="49"/>
      <c r="M109" s="89"/>
      <c r="N109" s="90"/>
      <c r="O109" s="18" t="s">
        <v>43</v>
      </c>
      <c r="P109" s="91"/>
      <c r="Q109" s="60"/>
      <c r="R109" s="174" t="s">
        <v>10</v>
      </c>
      <c r="S109" s="174"/>
      <c r="T109" s="69"/>
      <c r="U109" s="100"/>
      <c r="V109" s="55"/>
    </row>
    <row r="110" spans="12:22" ht="15.6" x14ac:dyDescent="0.3">
      <c r="L110" s="49"/>
      <c r="M110" s="89"/>
      <c r="N110" s="90"/>
      <c r="O110" s="18" t="s">
        <v>43</v>
      </c>
      <c r="P110" s="91"/>
      <c r="Q110" s="60"/>
      <c r="R110" s="174" t="s">
        <v>10</v>
      </c>
      <c r="S110" s="174"/>
      <c r="T110" s="69"/>
      <c r="U110" s="100"/>
      <c r="V110" s="55"/>
    </row>
    <row r="111" spans="12:22" ht="15.6" x14ac:dyDescent="0.3">
      <c r="L111" s="49"/>
      <c r="M111" s="89"/>
      <c r="N111" s="90"/>
      <c r="O111" s="18" t="s">
        <v>43</v>
      </c>
      <c r="P111" s="91"/>
      <c r="Q111" s="60"/>
      <c r="R111" s="174" t="s">
        <v>10</v>
      </c>
      <c r="S111" s="174"/>
      <c r="T111" s="69"/>
      <c r="U111" s="100"/>
      <c r="V111" s="55"/>
    </row>
    <row r="112" spans="12:22" ht="15.6" x14ac:dyDescent="0.3">
      <c r="L112" s="49"/>
      <c r="M112" s="89"/>
      <c r="N112" s="90"/>
      <c r="O112" s="18" t="s">
        <v>43</v>
      </c>
      <c r="P112" s="91"/>
      <c r="Q112" s="60"/>
      <c r="R112" s="174" t="s">
        <v>10</v>
      </c>
      <c r="S112" s="174"/>
      <c r="T112" s="69"/>
      <c r="U112" s="100"/>
      <c r="V112" s="55"/>
    </row>
    <row r="113" spans="12:22" ht="15.6" x14ac:dyDescent="0.3">
      <c r="L113" s="49"/>
      <c r="M113" s="89"/>
      <c r="N113" s="90"/>
      <c r="O113" s="18" t="s">
        <v>43</v>
      </c>
      <c r="P113" s="91"/>
      <c r="Q113" s="60"/>
      <c r="R113" s="174" t="s">
        <v>10</v>
      </c>
      <c r="S113" s="174"/>
      <c r="T113" s="69"/>
      <c r="U113" s="100"/>
      <c r="V113" s="55"/>
    </row>
    <row r="114" spans="12:22" ht="15.6" x14ac:dyDescent="0.3">
      <c r="L114" s="49"/>
      <c r="M114" s="89"/>
      <c r="N114" s="90"/>
      <c r="O114" s="18" t="s">
        <v>43</v>
      </c>
      <c r="P114" s="91"/>
      <c r="Q114" s="60"/>
      <c r="R114" s="174" t="s">
        <v>10</v>
      </c>
      <c r="S114" s="174"/>
      <c r="T114" s="69"/>
      <c r="U114" s="100"/>
      <c r="V114" s="55"/>
    </row>
    <row r="115" spans="12:22" ht="15.6" x14ac:dyDescent="0.3">
      <c r="L115" s="49"/>
      <c r="M115" s="89"/>
      <c r="N115" s="90"/>
      <c r="O115" s="18" t="s">
        <v>43</v>
      </c>
      <c r="P115" s="91"/>
      <c r="Q115" s="60"/>
      <c r="R115" s="174" t="s">
        <v>10</v>
      </c>
      <c r="S115" s="174"/>
      <c r="T115" s="69"/>
      <c r="U115" s="100"/>
      <c r="V115" s="55"/>
    </row>
    <row r="116" spans="12:22" ht="15.6" x14ac:dyDescent="0.3">
      <c r="L116" s="49"/>
      <c r="M116" s="89"/>
      <c r="N116" s="90"/>
      <c r="O116" s="18" t="s">
        <v>43</v>
      </c>
      <c r="P116" s="91"/>
      <c r="Q116" s="60"/>
      <c r="R116" s="174" t="s">
        <v>10</v>
      </c>
      <c r="S116" s="174"/>
      <c r="T116" s="69"/>
      <c r="U116" s="100"/>
      <c r="V116" s="55"/>
    </row>
    <row r="117" spans="12:22" ht="15.6" x14ac:dyDescent="0.3">
      <c r="L117" s="49"/>
      <c r="M117" s="89"/>
      <c r="N117" s="90"/>
      <c r="O117" s="18" t="s">
        <v>43</v>
      </c>
      <c r="P117" s="91"/>
      <c r="Q117" s="60"/>
      <c r="R117" s="174" t="s">
        <v>10</v>
      </c>
      <c r="S117" s="174"/>
      <c r="T117" s="69"/>
      <c r="U117" s="100"/>
      <c r="V117" s="55"/>
    </row>
    <row r="118" spans="12:22" ht="15.6" x14ac:dyDescent="0.3">
      <c r="L118" s="49"/>
      <c r="M118" s="89"/>
      <c r="N118" s="90"/>
      <c r="O118" s="18" t="s">
        <v>43</v>
      </c>
      <c r="P118" s="91"/>
      <c r="Q118" s="60"/>
      <c r="R118" s="174" t="s">
        <v>10</v>
      </c>
      <c r="S118" s="174"/>
      <c r="T118" s="69"/>
      <c r="U118" s="100"/>
      <c r="V118" s="55"/>
    </row>
    <row r="119" spans="12:22" ht="15.6" x14ac:dyDescent="0.3">
      <c r="L119" s="49"/>
      <c r="M119" s="89"/>
      <c r="N119" s="90"/>
      <c r="O119" s="18" t="s">
        <v>43</v>
      </c>
      <c r="P119" s="91"/>
      <c r="Q119" s="60"/>
      <c r="R119" s="174" t="s">
        <v>10</v>
      </c>
      <c r="S119" s="174"/>
      <c r="T119" s="69"/>
      <c r="U119" s="100"/>
      <c r="V119" s="55"/>
    </row>
    <row r="120" spans="12:22" ht="15.6" x14ac:dyDescent="0.3">
      <c r="L120" s="49"/>
      <c r="M120" s="89"/>
      <c r="N120" s="90"/>
      <c r="O120" s="18" t="s">
        <v>43</v>
      </c>
      <c r="P120" s="91"/>
      <c r="Q120" s="60"/>
      <c r="R120" s="174" t="s">
        <v>10</v>
      </c>
      <c r="S120" s="174"/>
      <c r="T120" s="69"/>
      <c r="U120" s="100"/>
      <c r="V120" s="55"/>
    </row>
    <row r="121" spans="12:22" ht="15.6" x14ac:dyDescent="0.3">
      <c r="L121" s="49"/>
      <c r="M121" s="89"/>
      <c r="N121" s="90"/>
      <c r="O121" s="18" t="s">
        <v>43</v>
      </c>
      <c r="P121" s="91"/>
      <c r="Q121" s="60"/>
      <c r="R121" s="174" t="s">
        <v>10</v>
      </c>
      <c r="S121" s="174"/>
      <c r="T121" s="69"/>
      <c r="U121" s="100"/>
      <c r="V121" s="55"/>
    </row>
    <row r="122" spans="12:22" ht="15.6" x14ac:dyDescent="0.3">
      <c r="L122" s="49"/>
      <c r="M122" s="89"/>
      <c r="N122" s="90"/>
      <c r="O122" s="18" t="s">
        <v>43</v>
      </c>
      <c r="P122" s="91"/>
      <c r="Q122" s="60"/>
      <c r="R122" s="174" t="s">
        <v>10</v>
      </c>
      <c r="S122" s="174"/>
      <c r="T122" s="69"/>
      <c r="U122" s="100"/>
      <c r="V122" s="55"/>
    </row>
    <row r="123" spans="12:22" ht="15.6" x14ac:dyDescent="0.3">
      <c r="L123" s="49"/>
      <c r="M123" s="89"/>
      <c r="N123" s="90"/>
      <c r="O123" s="18" t="s">
        <v>43</v>
      </c>
      <c r="P123" s="91"/>
      <c r="Q123" s="60"/>
      <c r="R123" s="174" t="s">
        <v>10</v>
      </c>
      <c r="S123" s="174"/>
      <c r="T123" s="69"/>
      <c r="U123" s="100"/>
      <c r="V123" s="55"/>
    </row>
    <row r="124" spans="12:22" ht="15.6" x14ac:dyDescent="0.3">
      <c r="L124" s="49"/>
      <c r="M124" s="89"/>
      <c r="N124" s="90"/>
      <c r="O124" s="18" t="s">
        <v>43</v>
      </c>
      <c r="P124" s="91"/>
      <c r="Q124" s="60"/>
      <c r="R124" s="174" t="s">
        <v>10</v>
      </c>
      <c r="S124" s="174"/>
      <c r="T124" s="69"/>
      <c r="U124" s="100"/>
      <c r="V124" s="55"/>
    </row>
    <row r="125" spans="12:22" ht="15.6" x14ac:dyDescent="0.3">
      <c r="L125" s="49"/>
      <c r="M125" s="89"/>
      <c r="N125" s="90"/>
      <c r="O125" s="18" t="s">
        <v>43</v>
      </c>
      <c r="P125" s="91"/>
      <c r="Q125" s="60"/>
      <c r="R125" s="174" t="s">
        <v>10</v>
      </c>
      <c r="S125" s="174"/>
      <c r="T125" s="69"/>
      <c r="U125" s="100"/>
      <c r="V125" s="55"/>
    </row>
    <row r="126" spans="12:22" ht="15.6" x14ac:dyDescent="0.3">
      <c r="L126" s="49"/>
      <c r="M126" s="89"/>
      <c r="N126" s="90"/>
      <c r="O126" s="18" t="s">
        <v>43</v>
      </c>
      <c r="P126" s="91"/>
      <c r="Q126" s="60"/>
      <c r="R126" s="174" t="s">
        <v>10</v>
      </c>
      <c r="S126" s="174"/>
      <c r="T126" s="69"/>
      <c r="U126" s="100"/>
      <c r="V126" s="55"/>
    </row>
    <row r="127" spans="12:22" ht="15.6" x14ac:dyDescent="0.3">
      <c r="L127" s="49"/>
      <c r="M127" s="89"/>
      <c r="N127" s="90"/>
      <c r="O127" s="18" t="s">
        <v>43</v>
      </c>
      <c r="P127" s="91"/>
      <c r="Q127" s="60"/>
      <c r="R127" s="174" t="s">
        <v>10</v>
      </c>
      <c r="S127" s="174"/>
      <c r="T127" s="69"/>
      <c r="U127" s="100"/>
      <c r="V127" s="55"/>
    </row>
    <row r="128" spans="12:22" ht="15.6" x14ac:dyDescent="0.3">
      <c r="L128" s="49"/>
      <c r="M128" s="89"/>
      <c r="N128" s="90"/>
      <c r="O128" s="18" t="s">
        <v>43</v>
      </c>
      <c r="P128" s="91"/>
      <c r="Q128" s="60"/>
      <c r="R128" s="174" t="s">
        <v>10</v>
      </c>
      <c r="S128" s="174"/>
      <c r="T128" s="69"/>
      <c r="U128" s="100"/>
      <c r="V128" s="55"/>
    </row>
    <row r="129" spans="12:22" ht="15.6" x14ac:dyDescent="0.3">
      <c r="L129" s="49"/>
      <c r="M129" s="89"/>
      <c r="N129" s="90"/>
      <c r="O129" s="147"/>
      <c r="P129" s="91"/>
      <c r="Q129" s="60"/>
      <c r="R129" s="174"/>
      <c r="S129" s="174"/>
      <c r="T129" s="69"/>
      <c r="U129" s="100"/>
      <c r="V129" s="55"/>
    </row>
    <row r="130" spans="12:22" ht="15.6" x14ac:dyDescent="0.3">
      <c r="L130" s="49"/>
      <c r="M130" s="163" t="s">
        <v>61</v>
      </c>
      <c r="N130" s="164"/>
      <c r="O130" s="165"/>
      <c r="P130" s="166"/>
      <c r="Q130" s="167"/>
      <c r="R130" s="177"/>
      <c r="S130" s="177"/>
      <c r="T130" s="172"/>
      <c r="U130" s="173"/>
      <c r="V130" s="55"/>
    </row>
    <row r="131" spans="12:22" ht="15.6" x14ac:dyDescent="0.3">
      <c r="L131" s="49"/>
      <c r="M131" s="163" t="s">
        <v>62</v>
      </c>
      <c r="N131" s="164"/>
      <c r="O131" s="165"/>
      <c r="P131" s="166"/>
      <c r="Q131" s="167"/>
      <c r="R131" s="168"/>
      <c r="S131" s="168"/>
      <c r="T131" s="172"/>
      <c r="U131" s="173"/>
      <c r="V131" s="55"/>
    </row>
    <row r="132" spans="12:22" ht="16.2" thickBot="1" x14ac:dyDescent="0.35">
      <c r="L132" s="49"/>
      <c r="M132" s="99"/>
      <c r="N132" s="68"/>
      <c r="O132" s="147"/>
      <c r="P132" s="91"/>
      <c r="Q132" s="60"/>
      <c r="R132" s="60"/>
      <c r="S132" s="60"/>
      <c r="T132" s="69"/>
      <c r="U132" s="100"/>
      <c r="V132" s="55"/>
    </row>
    <row r="133" spans="12:22" ht="16.2" thickBot="1" x14ac:dyDescent="0.35">
      <c r="L133" s="49"/>
      <c r="M133" s="106" t="s">
        <v>11</v>
      </c>
      <c r="N133" s="107">
        <f>SUM(N131:N132)</f>
        <v>0</v>
      </c>
      <c r="O133" s="101"/>
      <c r="P133" s="103"/>
      <c r="Q133" s="102"/>
      <c r="R133" s="102"/>
      <c r="S133" s="102"/>
      <c r="T133" s="104"/>
      <c r="U133" s="105"/>
      <c r="V133" s="55"/>
    </row>
    <row r="134" spans="12:22" x14ac:dyDescent="0.3">
      <c r="M134"/>
      <c r="O134" s="5"/>
      <c r="Q134"/>
      <c r="S134"/>
      <c r="T134" s="6"/>
      <c r="V134" s="55"/>
    </row>
    <row r="135" spans="12:22" x14ac:dyDescent="0.3">
      <c r="O135"/>
      <c r="V135" s="55"/>
    </row>
    <row r="136" spans="12:22" x14ac:dyDescent="0.3">
      <c r="M136" s="23"/>
      <c r="N136" s="23"/>
      <c r="O136" s="23"/>
      <c r="P136" s="23"/>
      <c r="Q136" s="23"/>
      <c r="V136" s="55"/>
    </row>
    <row r="137" spans="12:22" x14ac:dyDescent="0.3">
      <c r="V137" s="55"/>
    </row>
    <row r="138" spans="12:22" x14ac:dyDescent="0.3">
      <c r="V138" s="55"/>
    </row>
    <row r="139" spans="12:22" x14ac:dyDescent="0.3">
      <c r="V139" s="55"/>
    </row>
    <row r="140" spans="12:22" x14ac:dyDescent="0.3">
      <c r="V140" s="55"/>
    </row>
    <row r="141" spans="12:22" x14ac:dyDescent="0.3">
      <c r="V141" s="55"/>
    </row>
    <row r="142" spans="12:22" x14ac:dyDescent="0.3">
      <c r="V142" s="55"/>
    </row>
    <row r="143" spans="12:22" x14ac:dyDescent="0.3">
      <c r="V143" s="55"/>
    </row>
    <row r="144" spans="12:22" x14ac:dyDescent="0.3">
      <c r="V144" s="55"/>
    </row>
    <row r="145" spans="22:22" x14ac:dyDescent="0.3">
      <c r="V145" s="55"/>
    </row>
    <row r="146" spans="22:22" x14ac:dyDescent="0.3">
      <c r="V146" s="55"/>
    </row>
    <row r="147" spans="22:22" x14ac:dyDescent="0.3">
      <c r="V147" s="55"/>
    </row>
    <row r="148" spans="22:22" x14ac:dyDescent="0.3">
      <c r="V148" s="55"/>
    </row>
    <row r="149" spans="22:22" x14ac:dyDescent="0.3">
      <c r="V149" s="55"/>
    </row>
    <row r="150" spans="22:22" x14ac:dyDescent="0.3">
      <c r="V150" s="55"/>
    </row>
    <row r="151" spans="22:22" x14ac:dyDescent="0.3">
      <c r="V151" s="55"/>
    </row>
    <row r="152" spans="22:22" x14ac:dyDescent="0.3">
      <c r="V152" s="55"/>
    </row>
    <row r="153" spans="22:22" x14ac:dyDescent="0.3">
      <c r="V153" s="55"/>
    </row>
    <row r="154" spans="22:22" x14ac:dyDescent="0.3">
      <c r="V154" s="55"/>
    </row>
    <row r="155" spans="22:22" x14ac:dyDescent="0.3">
      <c r="V155" s="55"/>
    </row>
    <row r="156" spans="22:22" x14ac:dyDescent="0.3">
      <c r="V156" s="55"/>
    </row>
    <row r="157" spans="22:22" x14ac:dyDescent="0.3">
      <c r="V157" s="55"/>
    </row>
    <row r="158" spans="22:22" x14ac:dyDescent="0.3">
      <c r="V158" s="55"/>
    </row>
    <row r="159" spans="22:22" x14ac:dyDescent="0.3">
      <c r="V159" s="55"/>
    </row>
    <row r="160" spans="22:22" x14ac:dyDescent="0.3">
      <c r="V160" s="55"/>
    </row>
    <row r="161" spans="22:22" x14ac:dyDescent="0.3">
      <c r="V161" s="55"/>
    </row>
    <row r="162" spans="22:22" x14ac:dyDescent="0.3">
      <c r="V162" s="55"/>
    </row>
    <row r="163" spans="22:22" x14ac:dyDescent="0.3">
      <c r="V163" s="55"/>
    </row>
    <row r="164" spans="22:22" x14ac:dyDescent="0.3">
      <c r="V164" s="55"/>
    </row>
    <row r="165" spans="22:22" x14ac:dyDescent="0.3">
      <c r="V165" s="55"/>
    </row>
    <row r="166" spans="22:22" x14ac:dyDescent="0.3">
      <c r="V166" s="55"/>
    </row>
    <row r="167" spans="22:22" x14ac:dyDescent="0.3">
      <c r="V167" s="55"/>
    </row>
    <row r="1048525" spans="1:23" s="1" customFormat="1" x14ac:dyDescent="0.3">
      <c r="A1048525"/>
      <c r="C1048525"/>
      <c r="D1048525" s="3"/>
      <c r="E1048525"/>
      <c r="F1048525" s="3"/>
      <c r="G1048525"/>
      <c r="H1048525"/>
      <c r="I1048525"/>
      <c r="J1048525" s="3"/>
      <c r="K1048525"/>
      <c r="L1048525" s="3"/>
      <c r="M1048525" s="3"/>
      <c r="N1048525"/>
      <c r="O1048525" s="4"/>
      <c r="P1048525" s="3"/>
      <c r="Q1048525" s="3"/>
      <c r="R1048525" s="3"/>
      <c r="S1048525" s="3"/>
      <c r="T1048525"/>
      <c r="U1048525"/>
      <c r="V1048525"/>
      <c r="W1048525"/>
    </row>
    <row r="1048529" spans="1:1" x14ac:dyDescent="0.3">
      <c r="A1048529" t="s">
        <v>36</v>
      </c>
    </row>
  </sheetData>
  <mergeCells count="139">
    <mergeCell ref="O27:P27"/>
    <mergeCell ref="Q27:S27"/>
    <mergeCell ref="T27:U27"/>
    <mergeCell ref="N23:S23"/>
    <mergeCell ref="N24:S24"/>
    <mergeCell ref="M25:N25"/>
    <mergeCell ref="O25:P25"/>
    <mergeCell ref="Q25:S25"/>
    <mergeCell ref="T25:U25"/>
    <mergeCell ref="M22:U22"/>
    <mergeCell ref="Q26:S26"/>
    <mergeCell ref="O29:P29"/>
    <mergeCell ref="Q29:S29"/>
    <mergeCell ref="T29:U29"/>
    <mergeCell ref="T30:U30"/>
    <mergeCell ref="Q32:S32"/>
    <mergeCell ref="M31:N31"/>
    <mergeCell ref="O31:P31"/>
    <mergeCell ref="Q31:S31"/>
    <mergeCell ref="T28:U28"/>
    <mergeCell ref="O28:P28"/>
    <mergeCell ref="Q28:S28"/>
    <mergeCell ref="M28:N28"/>
    <mergeCell ref="M30:N30"/>
    <mergeCell ref="M29:N29"/>
    <mergeCell ref="R35:S35"/>
    <mergeCell ref="T35:U35"/>
    <mergeCell ref="O33:P33"/>
    <mergeCell ref="Q33:S33"/>
    <mergeCell ref="M34:N34"/>
    <mergeCell ref="O34:P34"/>
    <mergeCell ref="Q34:S34"/>
    <mergeCell ref="O30:P30"/>
    <mergeCell ref="Q30:S30"/>
    <mergeCell ref="D43:E43"/>
    <mergeCell ref="D47:E47"/>
    <mergeCell ref="D45:E45"/>
    <mergeCell ref="D46:E46"/>
    <mergeCell ref="M32:N32"/>
    <mergeCell ref="O32:P32"/>
    <mergeCell ref="M38:N38"/>
    <mergeCell ref="M35:O35"/>
    <mergeCell ref="P35:Q35"/>
    <mergeCell ref="T67:U67"/>
    <mergeCell ref="M69:U69"/>
    <mergeCell ref="R67:S67"/>
    <mergeCell ref="D68:E68"/>
    <mergeCell ref="D72:E72"/>
    <mergeCell ref="D73:E73"/>
    <mergeCell ref="D70:E70"/>
    <mergeCell ref="D44:E44"/>
    <mergeCell ref="D52:E52"/>
    <mergeCell ref="D48:E48"/>
    <mergeCell ref="D49:E49"/>
    <mergeCell ref="D60:E60"/>
    <mergeCell ref="D66:E66"/>
    <mergeCell ref="D53:E53"/>
    <mergeCell ref="D51:E51"/>
    <mergeCell ref="P67:Q67"/>
    <mergeCell ref="R75:S75"/>
    <mergeCell ref="D69:E69"/>
    <mergeCell ref="D65:E65"/>
    <mergeCell ref="D54:E54"/>
    <mergeCell ref="M65:N65"/>
    <mergeCell ref="M67:O67"/>
    <mergeCell ref="D64:E64"/>
    <mergeCell ref="D74:E74"/>
    <mergeCell ref="D76:E76"/>
    <mergeCell ref="D75:E75"/>
    <mergeCell ref="A90:A93"/>
    <mergeCell ref="R85:S85"/>
    <mergeCell ref="R102:S102"/>
    <mergeCell ref="R103:S103"/>
    <mergeCell ref="R104:S104"/>
    <mergeCell ref="R111:S111"/>
    <mergeCell ref="R112:S112"/>
    <mergeCell ref="R113:S113"/>
    <mergeCell ref="R114:S114"/>
    <mergeCell ref="R105:S105"/>
    <mergeCell ref="R106:S106"/>
    <mergeCell ref="R107:S107"/>
    <mergeCell ref="R108:S108"/>
    <mergeCell ref="R109:S109"/>
    <mergeCell ref="D77:E77"/>
    <mergeCell ref="D71:E71"/>
    <mergeCell ref="D81:E81"/>
    <mergeCell ref="R110:S110"/>
    <mergeCell ref="D78:E78"/>
    <mergeCell ref="D79:E79"/>
    <mergeCell ref="D84:E84"/>
    <mergeCell ref="R130:S130"/>
    <mergeCell ref="D85:E85"/>
    <mergeCell ref="D83:E83"/>
    <mergeCell ref="R120:S120"/>
    <mergeCell ref="R121:S121"/>
    <mergeCell ref="R122:S122"/>
    <mergeCell ref="R72:S72"/>
    <mergeCell ref="R73:S73"/>
    <mergeCell ref="R74:S74"/>
    <mergeCell ref="R71:S71"/>
    <mergeCell ref="R80:S80"/>
    <mergeCell ref="R83:S83"/>
    <mergeCell ref="R76:S76"/>
    <mergeCell ref="R78:S78"/>
    <mergeCell ref="R82:S82"/>
    <mergeCell ref="R77:S77"/>
    <mergeCell ref="R79:S79"/>
    <mergeCell ref="R81:S81"/>
    <mergeCell ref="R92:S92"/>
    <mergeCell ref="R90:S90"/>
    <mergeCell ref="R93:S93"/>
    <mergeCell ref="R96:S96"/>
    <mergeCell ref="R97:S97"/>
    <mergeCell ref="R98:S98"/>
    <mergeCell ref="R99:S99"/>
    <mergeCell ref="R100:S100"/>
    <mergeCell ref="R94:S94"/>
    <mergeCell ref="R95:S95"/>
    <mergeCell ref="R91:S91"/>
    <mergeCell ref="R84:S84"/>
    <mergeCell ref="R101:S101"/>
    <mergeCell ref="R123:S123"/>
    <mergeCell ref="R124:S124"/>
    <mergeCell ref="R115:S115"/>
    <mergeCell ref="R116:S116"/>
    <mergeCell ref="R117:S117"/>
    <mergeCell ref="R118:S118"/>
    <mergeCell ref="R119:S119"/>
    <mergeCell ref="T130:U130"/>
    <mergeCell ref="T131:U131"/>
    <mergeCell ref="R125:S125"/>
    <mergeCell ref="R126:S126"/>
    <mergeCell ref="R127:S127"/>
    <mergeCell ref="R128:S128"/>
    <mergeCell ref="R129:S129"/>
    <mergeCell ref="R86:S86"/>
    <mergeCell ref="R87:S87"/>
    <mergeCell ref="R88:S88"/>
    <mergeCell ref="R89:S89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2026-05-27T21:53:23Z</dcterms:modified>
</cp:coreProperties>
</file>