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21A7AFC3-86CF-4750-953C-1C89BFCC134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esumen" sheetId="1" r:id="rId1"/>
    <sheet name="RUTA 12345" sheetId="2" r:id="rId6"/>
    <sheet name="RUTA 67890" sheetId="3" r:id="rId7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<sst xmlns="http://schemas.openxmlformats.org/spreadsheetml/2006/main" count="135" uniqueCount="107">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</sst>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30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8" fillId="0" borderId="20" xfId="0" applyFont="1" applyBorder="1" applyAlignment="1">
      <alignment horizontal="center"/>
    </xf>
    <xf numFmtId="0" fontId="8" fillId="0" borderId="24" xfId="0" applyFont="1" applyBorder="1" applyAlignment="1">
      <alignment horizontal="center" vertical="center"/>
    </xf>
    <xf numFmtId="4" fontId="8" fillId="0" borderId="0" xfId="0" applyNumberFormat="1" applyFont="1"/>
    <xf numFmtId="0" fontId="8" fillId="0" borderId="24" xfId="0" applyFont="1" applyBorder="1" applyAlignment="1">
      <alignment horizontal="center"/>
    </xf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32" xfId="0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3" fontId="0" fillId="0" borderId="1" xfId="0" applyNumberFormat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3" fontId="0" fillId="0" borderId="3" xfId="0" applyNumberFormat="1" applyBorder="1" applyAlignment="1">
      <alignment horizontal="righ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165" fontId="0" fillId="0" borderId="3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2" xfId="0" applyNumberFormat="1" applyBorder="1"/>
    <xf numFmtId="165" fontId="0" fillId="0" borderId="1" xfId="0" applyNumberFormat="1" applyBorder="1" applyAlignment="1">
      <alignment horizontal="center"/>
    </xf>
    <xf numFmtId="0" fontId="13" fillId="0" borderId="0" xfId="0" applyFont="1"/>
    <xf numFmtId="42" fontId="13" fillId="0" borderId="0" xfId="0" applyNumberFormat="1" applyFont="1"/>
    <xf numFmtId="42" fontId="19" fillId="0" borderId="0" xfId="0" applyNumberFormat="1" applyFont="1" applyAlignment="1">
      <alignment horizontal="center" vertical="center"/>
    </xf>
    <xf numFmtId="164" fontId="13" fillId="0" borderId="0" xfId="0" applyNumberFormat="1" applyFont="1"/>
    <xf numFmtId="3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71" fontId="0" fillId="0" borderId="1" xfId="1" applyNumberFormat="1" applyFont="1" applyFill="1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42" fontId="0" fillId="3" borderId="0" xfId="0" applyNumberFormat="1" applyFill="1"/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42" fontId="0" fillId="0" borderId="23" xfId="3" applyFont="1" applyFill="1" applyBorder="1" applyAlignment="1">
      <alignment horizontal="righ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4" borderId="0" xfId="2" applyFont="1" applyFill="1" applyBorder="1" applyAlignment="1">
      <alignment horizontal="center" vertical="center"/>
    </xf>
    <xf numFmtId="169" fontId="4" fillId="5" borderId="21" xfId="0" applyNumberFormat="1" applyFont="1" applyFill="1" applyBorder="1" applyAlignment="1">
      <alignment vertical="center"/>
    </xf>
    <xf numFmtId="167" fontId="4" fillId="5" borderId="0" xfId="1" applyNumberFormat="1" applyFont="1" applyFill="1" applyBorder="1" applyAlignment="1">
      <alignment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top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3" fontId="5" fillId="0" borderId="0" xfId="0" applyNumberFormat="1" applyFont="1" applyAlignment="1">
      <alignment horizontal="center" vertic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3" fontId="6" fillId="0" borderId="3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42" fontId="6" fillId="0" borderId="0" xfId="2" applyFont="1" applyBorder="1" applyAlignment="1"/>
    <xf numFmtId="0" fontId="6" fillId="0" borderId="28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42" fontId="8" fillId="0" borderId="0" xfId="2" applyFont="1" applyFill="1" applyBorder="1" applyAlignment="1">
      <alignment horizontal="left"/>
    </xf>
    <xf numFmtId="0" fontId="6" fillId="0" borderId="0" xfId="0" applyFont="1" applyAlignment="1">
      <alignment horizont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167" fontId="18" fillId="5" borderId="0" xfId="1" applyNumberFormat="1" applyFont="1" applyFill="1" applyBorder="1" applyAlignment="1">
      <alignment horizontal="center" vertical="center"/>
    </xf>
    <xf numFmtId="167" fontId="18" fillId="5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6" xfId="0" applyFont="1" applyBorder="1" applyAlignment="1"/>
    <xf numFmtId="0" fontId="6" fillId="0" borderId="8" xfId="0" applyFont="1" applyBorder="1" applyAlignment="1"/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361806</xdr:colOff>
      <xdr:row>33</xdr:row>
      <xdr:rowOff>137072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3"/>
  <sheetViews>
    <sheetView tabSelected="1" zoomScale="85" zoomScaleNormal="85" workbookViewId="0">
      <pane xSplit="1" topLeftCell="B1" activePane="topRight" state="frozenSplit"/>
      <selection activeCell="A49" sqref="A49"/>
      <selection pane="topRight" activeCell="M71" sqref="M71:V71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JUAN PEREZ</t>
        </is>
      </c>
      <c r="C1" s="143" t="inlineStr">
        <is>
          <t xml:space="preserve">MARIA LOPEZ</t>
        </is>
      </c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/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12345</t>
        </is>
      </c>
      <c r="C5" s="154" t="inlineStr">
        <is>
          <t xml:space="preserve">67890</t>
        </is>
      </c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 s="0">
        <v>10</v>
      </c>
      <c r="C6" s="0">
        <v>10</v>
      </c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72" x14ac:dyDescent="0.3">
      <c r="A7" s="127" t="s">
        <v>2</v>
      </c>
      <c r="B7" s="155">
        <v>1000000</v>
      </c>
      <c r="C7" s="155">
        <v>1000000</v>
      </c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 t="inlineStr">
        <is>
          <t xml:space="preserve">12345 · JUAN PEREZ</t>
        </is>
      </c>
      <c r="C8" s="123" t="inlineStr">
        <is>
          <t xml:space="preserve">67890 · MARIA LOPEZ</t>
        </is>
      </c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171">
        <v>450000</v>
      </c>
      <c r="C9" s="172">
        <v>450000</v>
      </c>
      <c r="D9" s="173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171">
        <v>50000</v>
      </c>
      <c r="C10" s="172">
        <v>50000</v>
      </c>
      <c r="D10" s="173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171">
        <v>300000</v>
      </c>
      <c r="C11" s="172">
        <v>300000</v>
      </c>
      <c r="D11" s="173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171"/>
      <c r="C12" s="172"/>
      <c r="D12" s="173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171"/>
      <c r="C13" s="172"/>
      <c r="D13" s="173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171"/>
      <c r="C14" s="172"/>
      <c r="D14" s="173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171"/>
      <c r="C15" s="172"/>
      <c r="D15" s="173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171"/>
      <c r="C16" s="172"/>
      <c r="D16" s="173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171"/>
      <c r="C17" s="172"/>
      <c r="D17" s="173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 t="inlineStr">
        <is>
          <t xml:space="preserve">TOTALES CONSOLIDADOS</t>
        </is>
      </c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B22" s="0">
        <v>20</v>
      </c>
      <c r="D22" s="2"/>
      <c r="M22" s="174" t="s">
        <v>48</v>
      </c>
      <c r="N22" s="174"/>
      <c r="O22" s="174"/>
      <c r="P22" s="174"/>
      <c r="Q22" s="174"/>
      <c r="R22" s="174"/>
      <c r="S22" s="174"/>
      <c r="T22" s="174"/>
      <c r="U22" s="174"/>
    </row>
    <row r="23" spans="1:23" ht="16.2" thickBot="1" x14ac:dyDescent="0.35">
      <c r="B23" s="0">
        <v>2000000</v>
      </c>
      <c r="D23" s="6"/>
      <c r="J23"/>
      <c r="L23"/>
      <c r="M23" s="14" t="s">
        <v>13</v>
      </c>
      <c r="N23" s="188" t="inlineStr">
        <is>
          <t xml:space="preserve">24-06-2026</t>
        </is>
      </c>
      <c r="O23" s="189"/>
      <c r="P23" s="189"/>
      <c r="Q23" s="189"/>
      <c r="R23" s="189"/>
      <c r="S23" s="190"/>
      <c r="T23" s="142" t="s">
        <v>38</v>
      </c>
      <c r="U23" s="115">
        <v>20</v>
      </c>
      <c r="W23" s="96" t="s">
        <v>44</v>
      </c>
    </row>
    <row r="24" spans="1:23" ht="16.2" thickBot="1" x14ac:dyDescent="0.35">
      <c r="B24" s="2">
        <v>900000</v>
      </c>
      <c r="C24" s="18"/>
      <c r="J24"/>
      <c r="K24" s="15"/>
      <c r="L24"/>
      <c r="M24" s="16"/>
      <c r="N24" s="191" t="s">
        <v>49</v>
      </c>
      <c r="O24" s="192"/>
      <c r="P24" s="192"/>
      <c r="Q24" s="192"/>
      <c r="R24" s="192"/>
      <c r="S24" s="193"/>
      <c r="T24" s="117" t="s">
        <v>11</v>
      </c>
      <c r="U24" s="116">
        <v>2000000</v>
      </c>
      <c r="W24" s="141">
        <v>20</v>
      </c>
    </row>
    <row r="25" spans="1:23" x14ac:dyDescent="0.3">
      <c r="B25" s="2">
        <v>100000</v>
      </c>
      <c r="C25" s="111"/>
      <c r="D25" s="3" t="s">
        <v>15</v>
      </c>
      <c r="E25" s="4"/>
      <c r="J25"/>
      <c r="L25"/>
      <c r="M25" s="196" t="s">
        <v>16</v>
      </c>
      <c r="N25" s="197"/>
      <c r="O25" s="228"/>
      <c r="P25" s="229"/>
      <c r="Q25" s="171" t="s">
        <v>94</v>
      </c>
      <c r="R25" s="172"/>
      <c r="S25" s="173"/>
      <c r="T25" s="194" t="s">
        <v>17</v>
      </c>
      <c r="U25" s="195"/>
      <c r="V25" s="13"/>
      <c r="W25" s="86" t="s">
        <v>45</v>
      </c>
    </row>
    <row r="26" spans="1:23" x14ac:dyDescent="0.3">
      <c r="B26" s="0">
        <v>600000</v>
      </c>
      <c r="E26" s="4"/>
      <c r="J26"/>
      <c r="L26"/>
      <c r="M26" s="83" t="s">
        <v>53</v>
      </c>
      <c r="N26" s="84"/>
      <c r="O26" s="151"/>
      <c r="P26" s="152"/>
      <c r="Q26" s="175" t="s">
        <v>95</v>
      </c>
      <c r="R26" s="176"/>
      <c r="S26" s="177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78"/>
      <c r="P27" s="179"/>
      <c r="Q27" s="175" t="s">
        <v>64</v>
      </c>
      <c r="R27" s="176"/>
      <c r="S27" s="177"/>
      <c r="T27" s="186" t="s">
        <v>19</v>
      </c>
      <c r="U27" s="187"/>
      <c r="V27" s="19"/>
      <c r="W27" s="97">
        <v>2000000</v>
      </c>
    </row>
    <row r="28" spans="1:23" x14ac:dyDescent="0.3">
      <c r="I28" s="118">
        <f>C1</f>
        <v>0</v>
      </c>
      <c r="J28" s="162">
        <f>C9</f>
        <v>0</v>
      </c>
      <c r="L28"/>
      <c r="M28" s="184" t="s">
        <v>20</v>
      </c>
      <c r="N28" s="185"/>
      <c r="O28" s="178"/>
      <c r="P28" s="179"/>
      <c r="Q28" s="175" t="s">
        <v>65</v>
      </c>
      <c r="R28" s="176"/>
      <c r="S28" s="177"/>
      <c r="T28" s="182" t="s">
        <v>39</v>
      </c>
      <c r="U28" s="183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84" t="s">
        <v>21</v>
      </c>
      <c r="N29" s="185"/>
      <c r="O29" s="178"/>
      <c r="P29" s="179"/>
      <c r="Q29" s="175" t="s">
        <v>66</v>
      </c>
      <c r="R29" s="176"/>
      <c r="S29" s="177"/>
      <c r="T29" s="180" t="s">
        <v>40</v>
      </c>
      <c r="U29" s="181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84" t="s">
        <v>22</v>
      </c>
      <c r="N30" s="185"/>
      <c r="O30" s="178"/>
      <c r="P30" s="198"/>
      <c r="Q30" s="175" t="s">
        <v>67</v>
      </c>
      <c r="R30" s="176"/>
      <c r="S30" s="177"/>
      <c r="T30" s="199" t="s">
        <v>41</v>
      </c>
      <c r="U30" s="200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84" t="s">
        <v>23</v>
      </c>
      <c r="N31" s="185"/>
      <c r="O31" s="178"/>
      <c r="P31" s="179"/>
      <c r="Q31" s="175" t="s">
        <v>68</v>
      </c>
      <c r="R31" s="176"/>
      <c r="S31" s="177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84" t="s">
        <v>24</v>
      </c>
      <c r="N32" s="185"/>
      <c r="O32" s="178"/>
      <c r="P32" s="179"/>
      <c r="Q32" s="175" t="s">
        <v>69</v>
      </c>
      <c r="R32" s="176"/>
      <c r="S32" s="177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78"/>
      <c r="P33" s="179"/>
      <c r="Q33" s="175" t="s">
        <v>70</v>
      </c>
      <c r="R33" s="176"/>
      <c r="S33" s="177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4" t="s">
        <v>26</v>
      </c>
      <c r="N34" s="205"/>
      <c r="O34" s="206"/>
      <c r="P34" s="207"/>
      <c r="Q34" s="175">
        <v>2000000</v>
      </c>
      <c r="R34" s="176"/>
      <c r="S34" s="177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217" t="s">
        <v>27</v>
      </c>
      <c r="N35" s="218"/>
      <c r="O35" s="219"/>
      <c r="P35" s="202" t="s">
        <v>28</v>
      </c>
      <c r="Q35" s="203"/>
      <c r="R35" s="202" t="s">
        <v>29</v>
      </c>
      <c r="S35" s="203"/>
      <c r="T35" s="202" t="s">
        <v>30</v>
      </c>
      <c r="U35" s="203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SUM(O42)</f>
        <v>0</v>
      </c>
      <c r="L37"/>
      <c r="M37" s="37"/>
      <c r="N37" s="38"/>
      <c r="O37" s="39"/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208" t="s">
        <v>42</v>
      </c>
      <c r="N38" s="226"/>
      <c r="O38" s="227"/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 t="inlineStr">
        <is>
          <t xml:space="preserve">01-01-2026</t>
        </is>
      </c>
      <c r="N39" s="38" t="inlineStr">
        <is>
          <t xml:space="preserve">SANTANDER</t>
        </is>
      </c>
      <c r="O39" s="39">
        <v>100000</v>
      </c>
      <c r="P39" s="42"/>
      <c r="Q39" s="72"/>
      <c r="R39" s="44"/>
      <c r="S39" s="77"/>
      <c r="T39" s="42"/>
      <c r="U39" s="72"/>
      <c r="V39" s="1"/>
      <c r="W39" s="1"/>
    </row>
    <row r="40" spans="1:23" x14ac:dyDescent="0.3">
      <c r="M40" s="37" t="inlineStr">
        <is>
          <t xml:space="preserve">01-01-2026</t>
        </is>
      </c>
      <c r="N40" s="38" t="inlineStr">
        <is>
          <t xml:space="preserve">SANTANDER</t>
        </is>
      </c>
      <c r="O40" s="39">
        <v>100000</v>
      </c>
    </row>
    <row r="41" spans="1:23" ht="16.5" customHeight="1" x14ac:dyDescent="0.4">
      <c r="B41" s="20"/>
      <c r="C41" s="32"/>
      <c r="D41" s="48"/>
      <c r="E41" s="47"/>
      <c r="I41" s="134"/>
      <c r="J41"/>
      <c r="K41" s="24"/>
      <c r="L41" s="114">
        <v>4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3">
      <c r="B42" s="20"/>
      <c r="C42" s="32"/>
      <c r="D42" s="23"/>
      <c r="E42" s="23"/>
      <c r="I42" s="133"/>
      <c r="J42"/>
      <c r="K42" s="24"/>
      <c r="L42" s="114">
        <v>5</v>
      </c>
      <c r="M42" s="37"/>
      <c r="N42" s="38"/>
      <c r="O42" s="39"/>
      <c r="P42" s="42"/>
      <c r="Q42" s="70"/>
      <c r="R42" s="44"/>
      <c r="S42" s="78"/>
      <c r="T42" s="42"/>
      <c r="U42" s="72"/>
      <c r="V42" s="1"/>
      <c r="W42" s="1"/>
    </row>
    <row r="43" spans="1:23" ht="15" customHeight="1" x14ac:dyDescent="0.6">
      <c r="B43" s="20"/>
      <c r="C43" s="25"/>
      <c r="D43" s="23"/>
      <c r="E43" s="23"/>
      <c r="F43" s="51"/>
      <c r="I43" s="135"/>
      <c r="J43" s="57"/>
      <c r="L43" s="114">
        <v>6</v>
      </c>
      <c r="M43" s="37"/>
      <c r="N43" s="38"/>
      <c r="O43" s="39"/>
      <c r="P43" s="42"/>
      <c r="Q43" s="70"/>
      <c r="R43" s="44"/>
      <c r="S43" s="77"/>
      <c r="T43" s="42"/>
      <c r="U43" s="72"/>
      <c r="V43" s="1"/>
      <c r="W43" s="1"/>
    </row>
    <row r="44" spans="1:23" ht="15.75" customHeight="1" x14ac:dyDescent="0.6">
      <c r="A44" s="112"/>
      <c r="B44" s="20"/>
      <c r="C44" s="32"/>
      <c r="D44" s="201"/>
      <c r="E44" s="201"/>
      <c r="F44" s="51"/>
      <c r="G44" s="8"/>
      <c r="I44" s="136"/>
      <c r="J44" s="57"/>
      <c r="K44" s="24" t="e">
        <f>O38+O66</f>
        <v>#VALUE!</v>
      </c>
      <c r="L44" s="114">
        <v>7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ht="15" customHeight="1" x14ac:dyDescent="0.3">
      <c r="A45" s="25"/>
      <c r="B45" s="20"/>
      <c r="C45" s="25"/>
      <c r="D45" s="201"/>
      <c r="E45" s="201"/>
      <c r="F45" s="52"/>
      <c r="H45" s="68"/>
      <c r="I45" s="13"/>
      <c r="J45" s="57"/>
      <c r="K45" s="24"/>
      <c r="L45" s="114">
        <v>8</v>
      </c>
      <c r="M45" s="37"/>
      <c r="N45" s="38"/>
      <c r="O45" s="39"/>
      <c r="P45" s="42"/>
      <c r="Q45" s="70"/>
      <c r="R45" s="42"/>
      <c r="S45" s="71"/>
      <c r="T45" s="42"/>
      <c r="U45" s="72"/>
    </row>
    <row r="46" spans="1:23" x14ac:dyDescent="0.3">
      <c r="A46" s="25"/>
      <c r="B46" s="25"/>
      <c r="C46" s="43"/>
      <c r="D46" s="201"/>
      <c r="E46" s="201"/>
      <c r="F46" s="23"/>
      <c r="H46" s="68"/>
      <c r="I46" s="13"/>
      <c r="J46" s="57"/>
      <c r="L46" s="114">
        <v>9</v>
      </c>
      <c r="M46" s="37"/>
      <c r="N46" s="38"/>
      <c r="O46" s="39"/>
      <c r="P46" s="42"/>
      <c r="Q46" s="70"/>
      <c r="R46" s="42"/>
      <c r="S46" s="76"/>
      <c r="T46" s="42"/>
      <c r="U46" s="72"/>
    </row>
    <row r="47" spans="1:23" x14ac:dyDescent="0.3">
      <c r="A47" s="20"/>
      <c r="B47" s="20"/>
      <c r="C47" s="43"/>
      <c r="D47" s="201"/>
      <c r="E47" s="201"/>
      <c r="F47" s="53"/>
      <c r="H47" s="68"/>
      <c r="I47" s="13"/>
      <c r="J47" s="57"/>
      <c r="L47" s="114">
        <v>10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201"/>
      <c r="E48" s="201"/>
      <c r="F48" s="17"/>
      <c r="G48" s="1"/>
      <c r="H48" s="68"/>
      <c r="I48" s="13"/>
      <c r="J48" s="57"/>
      <c r="K48" s="24" t="e">
        <f>Q34-U24</f>
        <v>#VALUE!</v>
      </c>
      <c r="L48" s="114">
        <v>11</v>
      </c>
      <c r="M48" s="37"/>
      <c r="N48" s="38"/>
      <c r="O48" s="39"/>
      <c r="P48" s="42"/>
      <c r="Q48" s="70"/>
      <c r="R48" s="42"/>
      <c r="S48" s="71"/>
      <c r="T48" s="42"/>
      <c r="U48" s="72"/>
    </row>
    <row r="49" spans="1:23" x14ac:dyDescent="0.3">
      <c r="A49" s="20"/>
      <c r="B49" s="20"/>
      <c r="C49" s="43"/>
      <c r="D49" s="201"/>
      <c r="E49" s="201"/>
      <c r="F49" s="23"/>
      <c r="G49" s="1"/>
      <c r="H49" s="68"/>
      <c r="I49" s="13"/>
      <c r="J49" s="57"/>
      <c r="L49" s="114">
        <v>12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01"/>
      <c r="E50" s="201"/>
      <c r="F50" s="23"/>
      <c r="G50" s="1"/>
      <c r="H50" s="50"/>
      <c r="I50" s="13"/>
      <c r="J50" s="57"/>
      <c r="L50" s="114">
        <v>13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23"/>
      <c r="E51" s="25"/>
      <c r="F51" s="23"/>
      <c r="G51" s="1"/>
      <c r="H51" s="50"/>
      <c r="I51" s="13"/>
      <c r="J51" s="57"/>
      <c r="L51" s="114">
        <v>14</v>
      </c>
      <c r="M51" s="37"/>
      <c r="N51" s="38"/>
      <c r="O51" s="39"/>
      <c r="P51" s="42"/>
      <c r="Q51" s="70"/>
      <c r="R51" s="42"/>
      <c r="S51" s="71"/>
      <c r="T51" s="44"/>
      <c r="U51" s="72"/>
    </row>
    <row r="52" spans="1:21" x14ac:dyDescent="0.3">
      <c r="A52" s="20"/>
      <c r="B52" s="20"/>
      <c r="C52" s="43"/>
      <c r="D52" s="213"/>
      <c r="E52" s="213"/>
      <c r="F52" s="23"/>
      <c r="G52" s="1"/>
      <c r="H52" s="50"/>
      <c r="I52" s="13"/>
      <c r="J52" s="57"/>
      <c r="L52" s="114">
        <v>15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0"/>
      <c r="B53" s="55"/>
      <c r="C53" s="43"/>
      <c r="D53" s="225"/>
      <c r="E53" s="225"/>
      <c r="F53" s="23"/>
      <c r="G53" s="1"/>
      <c r="H53" s="50"/>
      <c r="I53" s="54"/>
      <c r="J53" s="57"/>
      <c r="L53" s="114">
        <v>16</v>
      </c>
      <c r="M53" s="37"/>
      <c r="N53" s="38"/>
      <c r="O53" s="39"/>
      <c r="P53" s="40"/>
      <c r="Q53" s="70"/>
      <c r="R53" s="42"/>
      <c r="S53" s="71"/>
      <c r="T53" s="44"/>
      <c r="U53" s="72"/>
    </row>
    <row r="54" spans="1:21" x14ac:dyDescent="0.3">
      <c r="A54" s="25"/>
      <c r="B54" s="55"/>
      <c r="C54" s="43"/>
      <c r="D54" s="212"/>
      <c r="E54" s="212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12"/>
      <c r="E55" s="21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 s="55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0"/>
      <c r="B60"/>
      <c r="C60" s="43"/>
      <c r="D60" s="22"/>
      <c r="E60" s="22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12"/>
      <c r="E61" s="21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70"/>
      <c r="R61" s="42"/>
      <c r="S61" s="71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x14ac:dyDescent="0.3">
      <c r="A64" s="25"/>
      <c r="B64"/>
      <c r="C64" s="43"/>
      <c r="D64" s="22"/>
      <c r="E64" s="22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161"/>
      <c r="R64" s="93"/>
      <c r="S64" s="92"/>
      <c r="T64" s="44"/>
      <c r="U64" s="72"/>
    </row>
    <row r="65" spans="1:21" ht="15" thickBot="1" x14ac:dyDescent="0.35">
      <c r="A65" s="25"/>
      <c r="B65"/>
      <c r="C65" s="43"/>
      <c r="D65" s="212"/>
      <c r="E65" s="212"/>
      <c r="F65" s="23"/>
      <c r="G65" s="1"/>
      <c r="H65" s="50"/>
      <c r="I65" s="54"/>
      <c r="J65" s="57"/>
      <c r="L65" s="18"/>
      <c r="M65" s="37"/>
      <c r="N65" s="38"/>
      <c r="O65" s="39"/>
      <c r="P65" s="42"/>
      <c r="Q65" s="88"/>
      <c r="R65" s="93"/>
      <c r="S65" s="92"/>
      <c r="T65" s="44"/>
      <c r="U65" s="75"/>
    </row>
    <row r="66" spans="1:23" ht="16.5" customHeight="1" thickBot="1" x14ac:dyDescent="0.35">
      <c r="A66" s="25"/>
      <c r="B66"/>
      <c r="C66" s="43"/>
      <c r="D66" s="212"/>
      <c r="E66" s="212"/>
      <c r="F66" s="20"/>
      <c r="G66" s="1"/>
      <c r="H66" s="50"/>
      <c r="I66" s="54"/>
      <c r="J66" s="57"/>
      <c r="L66"/>
      <c r="M66" s="208" t="s">
        <v>34</v>
      </c>
      <c r="N66" s="209"/>
      <c r="O66" s="46" t="s">
        <v>65</v>
      </c>
      <c r="P66" s="56" t="s">
        <v>11</v>
      </c>
      <c r="Q66" s="46"/>
      <c r="R66" s="56" t="s">
        <v>11</v>
      </c>
      <c r="S66" s="46"/>
      <c r="T66" s="56" t="s">
        <v>11</v>
      </c>
      <c r="U66" s="46"/>
    </row>
    <row r="67" spans="1:23" ht="15" thickBot="1" x14ac:dyDescent="0.35">
      <c r="A67" s="25"/>
      <c r="B67"/>
      <c r="C67" s="95"/>
      <c r="D67" s="212"/>
      <c r="E67" s="212"/>
      <c r="F67" s="23"/>
      <c r="G67" s="1"/>
      <c r="H67" s="50"/>
      <c r="I67" s="54"/>
      <c r="J67"/>
      <c r="L67"/>
      <c r="M67" s="58"/>
      <c r="N67" s="59"/>
      <c r="O67" s="74"/>
      <c r="P67" s="23"/>
      <c r="Q67" s="73"/>
      <c r="R67" s="74"/>
      <c r="S67" s="74"/>
      <c r="T67" s="6"/>
    </row>
    <row r="68" spans="1:23" ht="16.2" thickBot="1" x14ac:dyDescent="0.35">
      <c r="A68" s="25"/>
      <c r="B68"/>
      <c r="C68" s="25"/>
      <c r="D68" s="22"/>
      <c r="E68" s="22"/>
      <c r="F68" s="23"/>
      <c r="G68" s="1"/>
      <c r="H68" s="50"/>
      <c r="I68" s="54"/>
      <c r="J68"/>
      <c r="L68"/>
      <c r="M68" s="202" t="s">
        <v>47</v>
      </c>
      <c r="N68" s="216"/>
      <c r="O68" s="203"/>
      <c r="P68" s="214"/>
      <c r="Q68" s="215"/>
      <c r="R68" s="202" t="s">
        <v>37</v>
      </c>
      <c r="S68" s="216"/>
      <c r="T68" s="210" t="str">
        <f>Q25</f>
      </c>
      <c r="U68" s="211"/>
    </row>
    <row r="69" spans="1:23" ht="15.75" customHeight="1" thickBot="1" x14ac:dyDescent="0.35">
      <c r="A69" s="25"/>
      <c r="B69"/>
      <c r="C69" s="25"/>
      <c r="D69" s="212"/>
      <c r="E69" s="212"/>
      <c r="F69" s="67"/>
      <c r="G69" s="1"/>
      <c r="H69" s="50"/>
      <c r="I69" s="54"/>
      <c r="J69"/>
      <c r="L69"/>
      <c r="M69" s="60"/>
      <c r="N69" s="87"/>
      <c r="O69" s="87"/>
      <c r="P69" s="61"/>
      <c r="Q69" s="62"/>
      <c r="R69" s="62"/>
      <c r="S69" s="62"/>
      <c r="T69" s="60"/>
      <c r="U69" s="60"/>
    </row>
    <row r="70" spans="1:23" ht="15.75" customHeight="1" thickBot="1" x14ac:dyDescent="0.35">
      <c r="A70" s="25"/>
      <c r="B70" s="95"/>
      <c r="C70" s="25"/>
      <c r="D70" s="212"/>
      <c r="E70" s="212"/>
      <c r="F70" s="67"/>
      <c r="G70" s="1"/>
      <c r="H70" s="50"/>
      <c r="I70" s="54"/>
      <c r="J70"/>
      <c r="L70"/>
      <c r="M70" s="208" t="s">
        <v>35</v>
      </c>
      <c r="N70" s="226"/>
      <c r="O70" s="226"/>
      <c r="P70" s="226"/>
      <c r="Q70" s="226"/>
      <c r="R70" s="226"/>
      <c r="S70" s="226"/>
      <c r="T70" s="226"/>
      <c r="U70" s="227"/>
      <c r="V70" s="55"/>
    </row>
    <row r="71" spans="1:23" ht="15" thickBot="1" x14ac:dyDescent="0.35">
      <c r="A71" s="25"/>
      <c r="B71" s="20"/>
      <c r="C71" s="25"/>
      <c r="D71" s="212"/>
      <c r="E71" s="212"/>
      <c r="F71" s="67"/>
      <c r="G71" s="1"/>
      <c r="H71" s="50"/>
      <c r="I71" s="54"/>
      <c r="J71"/>
      <c r="L71" s="53" t="s">
        <v>59</v>
      </c>
      <c r="M71" s="156" t="s">
        <v>55</v>
      </c>
      <c r="N71" s="157"/>
      <c r="O71" s="157"/>
      <c r="P71" s="157" t="s">
        <v>56</v>
      </c>
      <c r="Q71" s="157"/>
      <c r="R71" s="157"/>
      <c r="S71" s="157"/>
      <c r="T71" s="157" t="s">
        <v>57</v>
      </c>
      <c r="U71" s="158" t="s">
        <v>60</v>
      </c>
      <c r="V71" s="170" t="s">
        <v>58</v>
      </c>
      <c r="W71" s="170" t="s">
        <v>50</v>
      </c>
    </row>
    <row r="72" spans="1:23" ht="15.6" x14ac:dyDescent="0.3">
      <c r="A72" s="25"/>
      <c r="B72" s="130"/>
      <c r="C72" s="25"/>
      <c r="D72" s="212"/>
      <c r="E72" s="212"/>
      <c r="F72" s="67"/>
      <c r="G72" s="1"/>
      <c r="H72" s="50"/>
      <c r="I72" s="54"/>
      <c r="J72" s="23"/>
      <c r="L72"/>
      <c r="M72" s="63"/>
      <c r="N72" s="64"/>
      <c r="O72" s="169" t="s">
        <v>43</v>
      </c>
      <c r="P72" s="66"/>
      <c r="Q72" s="65"/>
      <c r="R72" s="224" t="s">
        <v>6</v>
      </c>
      <c r="S72" s="224"/>
      <c r="T72" s="159"/>
      <c r="U72" s="160"/>
      <c r="V72" s="55"/>
    </row>
    <row r="73" spans="1:23" ht="15.6" x14ac:dyDescent="0.3">
      <c r="B73" s="55"/>
      <c r="C73" s="94"/>
      <c r="D73" s="212"/>
      <c r="E73" s="212"/>
      <c r="F73" s="67"/>
      <c r="I73" s="130"/>
      <c r="L73"/>
      <c r="M73" s="89"/>
      <c r="N73" s="90"/>
      <c r="O73" s="18"/>
      <c r="P73" s="91"/>
      <c r="Q73" s="60"/>
      <c r="R73" s="222"/>
      <c r="S73" s="222"/>
      <c r="T73" s="69"/>
      <c r="U73" s="100"/>
      <c r="V73" s="55"/>
    </row>
    <row r="74" spans="1:23" ht="15.6" x14ac:dyDescent="0.3">
      <c r="A74" s="53"/>
      <c r="B74" s="94"/>
      <c r="C74" s="94"/>
      <c r="D74" s="23"/>
      <c r="E74" s="25"/>
      <c r="F74" s="67"/>
      <c r="I74" s="130"/>
      <c r="L74" s="49" t="inlineStr">
        <is>
          <t xml:space="preserve">12345</t>
        </is>
      </c>
      <c r="M74" s="89" t="inlineStr">
        <is>
          <t xml:space="preserve">CLIENTE UNO</t>
        </is>
      </c>
      <c r="N74" s="90"/>
      <c r="O74" s="18" t="s">
        <v>43</v>
      </c>
      <c r="P74" s="91" t="inlineStr">
        <is>
          <t xml:space="preserve">F001</t>
        </is>
      </c>
      <c r="Q74" s="60"/>
      <c r="R74" s="222" t="s">
        <v>10</v>
      </c>
      <c r="S74" s="222"/>
      <c r="T74" s="69">
        <v>150000</v>
      </c>
      <c r="U74" s="100" t="inlineStr">
        <is>
          <t xml:space="preserve">Banco Santander</t>
        </is>
      </c>
      <c r="V74" s="55"/>
    </row>
    <row r="75" spans="1:23" ht="15.6" x14ac:dyDescent="0.3">
      <c r="L75" s="49"/>
      <c r="M75" s="89" t="inlineStr">
        <is>
          <t xml:space="preserve">CLIENTE UNO</t>
        </is>
      </c>
      <c r="N75" s="90"/>
      <c r="O75" s="147"/>
      <c r="P75" s="91" t="inlineStr">
        <is>
          <t xml:space="preserve">F001</t>
        </is>
      </c>
      <c r="Q75" s="60"/>
      <c r="R75" s="222"/>
      <c r="S75" s="222"/>
      <c r="T75" s="69">
        <v>150000</v>
      </c>
      <c r="U75" s="100" t="inlineStr">
        <is>
          <t xml:space="preserve">Banco Santander</t>
        </is>
      </c>
      <c r="V75" s="55"/>
    </row>
    <row r="76" spans="1:23" ht="15.6" x14ac:dyDescent="0.3">
      <c r="L76" s="49"/>
      <c r="M76" s="163" t="s">
        <v>61</v>
      </c>
      <c r="N76" s="164"/>
      <c r="O76" s="165"/>
      <c r="P76" s="166"/>
      <c r="Q76" s="167"/>
      <c r="R76" s="223"/>
      <c r="S76" s="223"/>
      <c r="T76" s="220"/>
      <c r="U76" s="221"/>
      <c r="V76" s="55"/>
    </row>
    <row r="77" spans="1:23" ht="15.6" x14ac:dyDescent="0.3">
      <c r="L77" s="49"/>
      <c r="M77" s="163" t="s">
        <v>62</v>
      </c>
      <c r="N77" s="164"/>
      <c r="O77" s="165"/>
      <c r="P77" s="166"/>
      <c r="Q77" s="167"/>
      <c r="R77" s="168"/>
      <c r="S77" s="168"/>
      <c r="T77" s="220"/>
      <c r="U77" s="221"/>
      <c r="V77" s="55"/>
    </row>
    <row r="78" spans="1:23" ht="16.2" thickBot="1" x14ac:dyDescent="0.35">
      <c r="L78" s="49"/>
      <c r="M78" s="99"/>
      <c r="N78" s="68"/>
      <c r="O78" s="147"/>
      <c r="P78" s="91"/>
      <c r="Q78" s="60"/>
      <c r="R78" s="60"/>
      <c r="S78" s="60"/>
      <c r="T78" s="69"/>
      <c r="U78" s="100"/>
      <c r="V78" s="55"/>
    </row>
    <row r="79" spans="1:23" ht="16.2" thickBot="1" x14ac:dyDescent="0.35">
      <c r="L79" s="49"/>
      <c r="M79" s="106" t="s">
        <v>11</v>
      </c>
      <c r="N79" s="107">
        <f>SUM(N77:N78)</f>
        <v>0</v>
      </c>
      <c r="O79" s="101"/>
      <c r="P79" s="103"/>
      <c r="Q79" s="102"/>
      <c r="R79" s="102"/>
      <c r="S79" s="102"/>
      <c r="T79" s="104"/>
      <c r="U79" s="105"/>
      <c r="V79" s="55"/>
    </row>
    <row r="80" spans="1:23" x14ac:dyDescent="0.3">
      <c r="M80"/>
      <c r="O80" s="5"/>
      <c r="Q80"/>
      <c r="S80"/>
      <c r="T80" s="6"/>
      <c r="V80" s="55"/>
    </row>
    <row r="81" spans="1:23" x14ac:dyDescent="0.3">
      <c r="O81"/>
      <c r="V81" s="55"/>
    </row>
    <row r="82" spans="13:22" x14ac:dyDescent="0.3">
      <c r="M82" s="23"/>
      <c r="N82" s="23"/>
      <c r="O82" s="23"/>
      <c r="P82" s="23"/>
      <c r="Q82" s="23"/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13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  <row r="113" spans="22:22" x14ac:dyDescent="0.3">
      <c r="V113" s="55"/>
    </row>
  </sheetData>
  <mergeCells count="70">
    <mergeCell ref="D72:E72"/>
    <mergeCell ref="D73:E73"/>
    <mergeCell ref="D53:E53"/>
    <mergeCell ref="M70:U70"/>
    <mergeCell ref="R68:S68"/>
    <mergeCell ref="D69:E69"/>
    <mergeCell ref="D71:E71"/>
    <mergeCell ref="T77:U77"/>
    <mergeCell ref="R75:S75"/>
    <mergeCell ref="R76:S76"/>
    <mergeCell ref="R72:S72"/>
    <mergeCell ref="R74:S74"/>
    <mergeCell ref="R73:S73"/>
    <mergeCell ref="T76:U76"/>
    <mergeCell ref="D70:E70"/>
    <mergeCell ref="M68:O68"/>
    <mergeCell ref="M35:O35"/>
    <mergeCell ref="D45:E45"/>
    <mergeCell ref="D47:E47"/>
    <mergeCell ref="M66:N66"/>
    <mergeCell ref="M38:O38"/>
    <mergeCell ref="O32:P32"/>
    <mergeCell ref="P35:Q35"/>
    <mergeCell ref="T68:U68"/>
    <mergeCell ref="D61:E61"/>
    <mergeCell ref="D67:E67"/>
    <mergeCell ref="D54:E54"/>
    <mergeCell ref="D52:E52"/>
    <mergeCell ref="D66:E66"/>
    <mergeCell ref="D55:E55"/>
    <mergeCell ref="D65:E65"/>
    <mergeCell ref="D49:E49"/>
    <mergeCell ref="D50:E50"/>
    <mergeCell ref="D48:E48"/>
    <mergeCell ref="D46:E46"/>
    <mergeCell ref="P68:Q68"/>
    <mergeCell ref="T30:U30"/>
    <mergeCell ref="Q32:S32"/>
    <mergeCell ref="D44:E44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M25:N25"/>
    <mergeCell ref="O30:P30"/>
    <mergeCell ref="Q30:S30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2"/>
  <sheetViews>
    <sheetView tabSelected="1" zoomScale="85" zoomScaleNormal="85" workbookViewId="0">
      <pane xSplit="1" topLeftCell="B1" activePane="topRight" state="frozenSplit"/>
      <selection activeCell="A49" sqref="A49"/>
      <selection pane="topRight" activeCell="M71" sqref="M71:V71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JUAN PEREZ</t>
        </is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s">
        <v>101</v>
      </c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 t="s">
        <v>102</v>
      </c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 t="s">
        <v>103</v>
      </c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12345</t>
        </is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>
        <v>10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72" x14ac:dyDescent="0.3">
      <c r="A7" s="127" t="s">
        <v>2</v>
      </c>
      <c r="B7" s="155">
        <v>1000000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171">
        <v>450000</v>
      </c>
      <c r="C9" s="172"/>
      <c r="D9" s="173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171">
        <v>50000</v>
      </c>
      <c r="C10" s="172"/>
      <c r="D10" s="173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171">
        <v>300000</v>
      </c>
      <c r="C11" s="172"/>
      <c r="D11" s="173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171"/>
      <c r="C12" s="172"/>
      <c r="D12" s="173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171"/>
      <c r="C13" s="172"/>
      <c r="D13" s="173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171"/>
      <c r="C14" s="172"/>
      <c r="D14" s="173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171"/>
      <c r="C15" s="172"/>
      <c r="D15" s="173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171"/>
      <c r="C16" s="172"/>
      <c r="D16" s="173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171"/>
      <c r="C17" s="172"/>
      <c r="D17" s="173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174" t="s">
        <v>48</v>
      </c>
      <c r="N22" s="174"/>
      <c r="O22" s="174"/>
      <c r="P22" s="174"/>
      <c r="Q22" s="174"/>
      <c r="R22" s="174"/>
      <c r="S22" s="174"/>
      <c r="T22" s="174"/>
      <c r="U22" s="174"/>
    </row>
    <row r="23" spans="1:23" ht="16.2" thickBot="1" x14ac:dyDescent="0.35">
      <c r="D23" s="6"/>
      <c r="J23"/>
      <c r="L23"/>
      <c r="M23" s="14" t="s">
        <v>13</v>
      </c>
      <c r="N23" s="188" t="inlineStr">
        <is>
          <t xml:space="preserve">24-06-2026</t>
        </is>
      </c>
      <c r="O23" s="189"/>
      <c r="P23" s="189"/>
      <c r="Q23" s="189"/>
      <c r="R23" s="189"/>
      <c r="S23" s="190"/>
      <c r="T23" s="142" t="s">
        <v>38</v>
      </c>
      <c r="U23" s="115">
        <v>10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191" t="s">
        <v>49</v>
      </c>
      <c r="O24" s="192"/>
      <c r="P24" s="192"/>
      <c r="Q24" s="192"/>
      <c r="R24" s="192"/>
      <c r="S24" s="193"/>
      <c r="T24" s="117" t="s">
        <v>11</v>
      </c>
      <c r="U24" s="116">
        <v>1000000</v>
      </c>
      <c r="W24" s="141">
        <v>10</v>
      </c>
    </row>
    <row r="25" spans="1:23" x14ac:dyDescent="0.3">
      <c r="B25" s="2"/>
      <c r="C25" s="111"/>
      <c r="D25" s="3" t="s">
        <v>15</v>
      </c>
      <c r="E25" s="4"/>
      <c r="J25"/>
      <c r="L25"/>
      <c r="M25" s="196" t="s">
        <v>16</v>
      </c>
      <c r="N25" s="197"/>
      <c r="O25" s="228"/>
      <c r="P25" s="229"/>
      <c r="Q25" s="171">
        <v>450000</v>
      </c>
      <c r="R25" s="172"/>
      <c r="S25" s="173"/>
      <c r="T25" s="194" t="s">
        <v>17</v>
      </c>
      <c r="U25" s="195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5">
        <v>50000</v>
      </c>
      <c r="R26" s="176"/>
      <c r="S26" s="177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78"/>
      <c r="P27" s="179"/>
      <c r="Q27" s="175">
        <v>300000</v>
      </c>
      <c r="R27" s="176"/>
      <c r="S27" s="177"/>
      <c r="T27" s="186" t="s">
        <v>19</v>
      </c>
      <c r="U27" s="187"/>
      <c r="V27" s="19"/>
      <c r="W27" s="97">
        <v>1000000</v>
      </c>
    </row>
    <row r="28" spans="1:23" x14ac:dyDescent="0.3">
      <c r="I28" s="118">
        <f>C1</f>
        <v>0</v>
      </c>
      <c r="J28" s="162">
        <f>C9</f>
        <v>0</v>
      </c>
      <c r="L28"/>
      <c r="M28" s="184" t="s">
        <v>20</v>
      </c>
      <c r="N28" s="185"/>
      <c r="O28" s="178"/>
      <c r="P28" s="179"/>
      <c r="Q28" s="175"/>
      <c r="R28" s="176"/>
      <c r="S28" s="177"/>
      <c r="T28" s="182" t="s">
        <v>39</v>
      </c>
      <c r="U28" s="183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84" t="s">
        <v>21</v>
      </c>
      <c r="N29" s="185"/>
      <c r="O29" s="178"/>
      <c r="P29" s="179"/>
      <c r="Q29" s="175"/>
      <c r="R29" s="176"/>
      <c r="S29" s="177"/>
      <c r="T29" s="180" t="s">
        <v>40</v>
      </c>
      <c r="U29" s="181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84" t="s">
        <v>22</v>
      </c>
      <c r="N30" s="185"/>
      <c r="O30" s="178"/>
      <c r="P30" s="198"/>
      <c r="Q30" s="175"/>
      <c r="R30" s="176"/>
      <c r="S30" s="177"/>
      <c r="T30" s="199" t="s">
        <v>41</v>
      </c>
      <c r="U30" s="200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84" t="s">
        <v>23</v>
      </c>
      <c r="N31" s="185"/>
      <c r="O31" s="178"/>
      <c r="P31" s="179"/>
      <c r="Q31" s="175"/>
      <c r="R31" s="176"/>
      <c r="S31" s="177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84" t="s">
        <v>24</v>
      </c>
      <c r="N32" s="185"/>
      <c r="O32" s="178"/>
      <c r="P32" s="179"/>
      <c r="Q32" s="175"/>
      <c r="R32" s="176"/>
      <c r="S32" s="177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78"/>
      <c r="P33" s="179"/>
      <c r="Q33" s="175"/>
      <c r="R33" s="176"/>
      <c r="S33" s="177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4" t="s">
        <v>26</v>
      </c>
      <c r="N34" s="205"/>
      <c r="O34" s="206"/>
      <c r="P34" s="207"/>
      <c r="Q34" s="175">
        <v>1000000</v>
      </c>
      <c r="R34" s="176"/>
      <c r="S34" s="177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217" t="s">
        <v>27</v>
      </c>
      <c r="N35" s="218"/>
      <c r="O35" s="219"/>
      <c r="P35" s="202" t="s">
        <v>28</v>
      </c>
      <c r="Q35" s="203"/>
      <c r="R35" s="202" t="s">
        <v>29</v>
      </c>
      <c r="S35" s="203"/>
      <c r="T35" s="202" t="s">
        <v>30</v>
      </c>
      <c r="U35" s="203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/>
      <c r="N37" s="38"/>
      <c r="O37" s="39"/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208" t="s">
        <v>42</v>
      </c>
      <c r="N38" s="226"/>
      <c r="O38" s="227"/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 t="inlineStr">
        <is>
          <t xml:space="preserve">01-01-2026</t>
        </is>
      </c>
      <c r="N39" s="38" t="inlineStr">
        <is>
          <t xml:space="preserve">SANTANDER</t>
        </is>
      </c>
      <c r="O39" s="39">
        <v>100000</v>
      </c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201"/>
      <c r="E43" s="201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201"/>
      <c r="E44" s="201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201"/>
      <c r="E45" s="201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201"/>
      <c r="E46" s="201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201"/>
      <c r="E47" s="201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201"/>
      <c r="E48" s="201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201"/>
      <c r="E49" s="201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213"/>
      <c r="E51" s="213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225"/>
      <c r="E52" s="225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212"/>
      <c r="E53" s="212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212"/>
      <c r="E54" s="212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212"/>
      <c r="E60" s="212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212"/>
      <c r="E64" s="212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212"/>
      <c r="E65" s="212"/>
      <c r="F65" s="20"/>
      <c r="G65" s="1"/>
      <c r="H65" s="50"/>
      <c r="I65" s="54"/>
      <c r="J65" s="57"/>
      <c r="L65"/>
      <c r="M65" s="208" t="s">
        <v>34</v>
      </c>
      <c r="N65" s="209"/>
      <c r="O65" s="46"/>
      <c r="P65" s="56" t="s">
        <v>11</v>
      </c>
      <c r="Q65" s="46"/>
      <c r="R65" s="56" t="s">
        <v>11</v>
      </c>
      <c r="S65" s="46"/>
      <c r="T65" s="56" t="s">
        <v>11</v>
      </c>
      <c r="U65" s="46"/>
    </row>
    <row r="66" spans="1:23" ht="15" thickBot="1" x14ac:dyDescent="0.35">
      <c r="A66" s="25"/>
      <c r="B66"/>
      <c r="C66" s="95"/>
      <c r="D66" s="212"/>
      <c r="E66" s="212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202" t="s">
        <v>47</v>
      </c>
      <c r="N67" s="216"/>
      <c r="O67" s="203"/>
      <c r="P67" s="214"/>
      <c r="Q67" s="215"/>
      <c r="R67" s="202" t="s">
        <v>37</v>
      </c>
      <c r="S67" s="216"/>
      <c r="T67" s="210" t="str">
        <f>Q25</f>
      </c>
      <c r="U67" s="211"/>
    </row>
    <row r="68" spans="1:23" ht="15.75" customHeight="1" thickBot="1" x14ac:dyDescent="0.35">
      <c r="A68" s="25"/>
      <c r="B68"/>
      <c r="C68" s="25"/>
      <c r="D68" s="212"/>
      <c r="E68" s="212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212"/>
      <c r="E69" s="212"/>
      <c r="F69" s="67"/>
      <c r="G69" s="1"/>
      <c r="H69" s="50"/>
      <c r="I69" s="54"/>
      <c r="J69"/>
      <c r="L69"/>
      <c r="M69" s="208" t="s">
        <v>35</v>
      </c>
      <c r="N69" s="226"/>
      <c r="O69" s="226"/>
      <c r="P69" s="226"/>
      <c r="Q69" s="226"/>
      <c r="R69" s="226"/>
      <c r="S69" s="226"/>
      <c r="T69" s="226"/>
      <c r="U69" s="227"/>
      <c r="V69" s="55"/>
    </row>
    <row r="70" spans="1:23" ht="15" thickBot="1" x14ac:dyDescent="0.35">
      <c r="A70" s="25"/>
      <c r="B70" s="20"/>
      <c r="C70" s="25"/>
      <c r="D70" s="212"/>
      <c r="E70" s="212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212"/>
      <c r="E71" s="212"/>
      <c r="F71" s="67"/>
      <c r="G71" s="1"/>
      <c r="H71" s="50"/>
      <c r="I71" s="54"/>
      <c r="J71" s="23"/>
      <c r="L71"/>
      <c r="M71" s="63"/>
      <c r="N71" s="64"/>
      <c r="O71" s="169" t="s">
        <v>43</v>
      </c>
      <c r="P71" s="66"/>
      <c r="Q71" s="65"/>
      <c r="R71" s="224" t="s">
        <v>6</v>
      </c>
      <c r="S71" s="224"/>
      <c r="T71" s="159"/>
      <c r="U71" s="160"/>
      <c r="V71" s="55"/>
    </row>
    <row r="72" spans="1:23" ht="15.6" x14ac:dyDescent="0.3">
      <c r="B72" s="55"/>
      <c r="C72" s="94"/>
      <c r="D72" s="212"/>
      <c r="E72" s="212"/>
      <c r="F72" s="67"/>
      <c r="I72" s="130"/>
      <c r="L72"/>
      <c r="M72" s="89"/>
      <c r="N72" s="90"/>
      <c r="O72" s="18"/>
      <c r="P72" s="91"/>
      <c r="Q72" s="60"/>
      <c r="R72" s="222"/>
      <c r="S72" s="222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 t="inlineStr">
        <is>
          <t xml:space="preserve">12345</t>
        </is>
      </c>
      <c r="M73" s="89" t="inlineStr">
        <is>
          <t xml:space="preserve">CLIENTE UNO</t>
        </is>
      </c>
      <c r="N73" s="90"/>
      <c r="O73" s="18" t="s">
        <v>43</v>
      </c>
      <c r="P73" s="91" t="inlineStr">
        <is>
          <t xml:space="preserve">F001</t>
        </is>
      </c>
      <c r="Q73" s="60"/>
      <c r="R73" s="222" t="s">
        <v>10</v>
      </c>
      <c r="S73" s="222"/>
      <c r="T73" s="69">
        <v>150000</v>
      </c>
      <c r="U73" s="100" t="inlineStr">
        <is>
          <t xml:space="preserve">Banco Santander</t>
        </is>
      </c>
      <c r="V73" s="55"/>
    </row>
    <row r="74" spans="1:23" ht="15.6" x14ac:dyDescent="0.3">
      <c r="L74" s="49"/>
      <c r="M74" s="89"/>
      <c r="N74" s="90"/>
      <c r="O74" s="147"/>
      <c r="P74" s="91"/>
      <c r="Q74" s="60"/>
      <c r="R74" s="222"/>
      <c r="S74" s="222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223"/>
      <c r="S75" s="223"/>
      <c r="T75" s="220"/>
      <c r="U75" s="221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220"/>
      <c r="U76" s="221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</sheetData>
  <mergeCells count="70">
    <mergeCell ref="D71:E71"/>
    <mergeCell ref="D72:E72"/>
    <mergeCell ref="D52:E52"/>
    <mergeCell ref="M69:U69"/>
    <mergeCell ref="R67:S67"/>
    <mergeCell ref="D68:E68"/>
    <mergeCell ref="D70:E70"/>
    <mergeCell ref="T76:U76"/>
    <mergeCell ref="R74:S74"/>
    <mergeCell ref="R75:S75"/>
    <mergeCell ref="R71:S71"/>
    <mergeCell ref="R73:S73"/>
    <mergeCell ref="R72:S72"/>
    <mergeCell ref="T75:U75"/>
    <mergeCell ref="D69:E69"/>
    <mergeCell ref="M67:O67"/>
    <mergeCell ref="M35:O35"/>
    <mergeCell ref="D44:E44"/>
    <mergeCell ref="D46:E46"/>
    <mergeCell ref="M65:N65"/>
    <mergeCell ref="M38:O38"/>
    <mergeCell ref="O32:P32"/>
    <mergeCell ref="P35:Q35"/>
    <mergeCell ref="T67:U67"/>
    <mergeCell ref="D60:E60"/>
    <mergeCell ref="D66:E66"/>
    <mergeCell ref="D53:E53"/>
    <mergeCell ref="D51:E51"/>
    <mergeCell ref="D65:E65"/>
    <mergeCell ref="D54:E54"/>
    <mergeCell ref="D64:E64"/>
    <mergeCell ref="D48:E48"/>
    <mergeCell ref="D49:E49"/>
    <mergeCell ref="D47:E47"/>
    <mergeCell ref="D45:E45"/>
    <mergeCell ref="P67:Q67"/>
    <mergeCell ref="T30:U30"/>
    <mergeCell ref="Q32:S32"/>
    <mergeCell ref="D43:E43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M25:N25"/>
    <mergeCell ref="O30:P30"/>
    <mergeCell ref="Q30:S30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2"/>
  <sheetViews>
    <sheetView tabSelected="1" zoomScale="85" zoomScaleNormal="85" workbookViewId="0">
      <pane xSplit="1" topLeftCell="B1" activePane="topRight" state="frozenSplit"/>
      <selection activeCell="A49" sqref="A49"/>
      <selection pane="topRight" activeCell="M71" sqref="M71:V71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MARIA LOPEZ</t>
        </is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s">
        <v>101</v>
      </c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 t="s">
        <v>102</v>
      </c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 t="s">
        <v>103</v>
      </c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67890</t>
        </is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>
        <v>10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72" x14ac:dyDescent="0.3">
      <c r="A7" s="127" t="s">
        <v>2</v>
      </c>
      <c r="B7" s="155">
        <v>1000000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171">
        <v>450000</v>
      </c>
      <c r="C9" s="172"/>
      <c r="D9" s="173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171">
        <v>50000</v>
      </c>
      <c r="C10" s="172"/>
      <c r="D10" s="173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171">
        <v>300000</v>
      </c>
      <c r="C11" s="172"/>
      <c r="D11" s="173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171"/>
      <c r="C12" s="172"/>
      <c r="D12" s="173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171"/>
      <c r="C13" s="172"/>
      <c r="D13" s="173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171"/>
      <c r="C14" s="172"/>
      <c r="D14" s="173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171"/>
      <c r="C15" s="172"/>
      <c r="D15" s="173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171"/>
      <c r="C16" s="172"/>
      <c r="D16" s="173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171"/>
      <c r="C17" s="172"/>
      <c r="D17" s="173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174" t="s">
        <v>48</v>
      </c>
      <c r="N22" s="174"/>
      <c r="O22" s="174"/>
      <c r="P22" s="174"/>
      <c r="Q22" s="174"/>
      <c r="R22" s="174"/>
      <c r="S22" s="174"/>
      <c r="T22" s="174"/>
      <c r="U22" s="174"/>
    </row>
    <row r="23" spans="1:23" ht="16.2" thickBot="1" x14ac:dyDescent="0.35">
      <c r="D23" s="6"/>
      <c r="J23"/>
      <c r="L23"/>
      <c r="M23" s="14" t="s">
        <v>13</v>
      </c>
      <c r="N23" s="188" t="inlineStr">
        <is>
          <t xml:space="preserve">24-06-2026</t>
        </is>
      </c>
      <c r="O23" s="189"/>
      <c r="P23" s="189"/>
      <c r="Q23" s="189"/>
      <c r="R23" s="189"/>
      <c r="S23" s="190"/>
      <c r="T23" s="142" t="s">
        <v>38</v>
      </c>
      <c r="U23" s="115">
        <v>10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191" t="s">
        <v>49</v>
      </c>
      <c r="O24" s="192"/>
      <c r="P24" s="192"/>
      <c r="Q24" s="192"/>
      <c r="R24" s="192"/>
      <c r="S24" s="193"/>
      <c r="T24" s="117" t="s">
        <v>11</v>
      </c>
      <c r="U24" s="116">
        <v>1000000</v>
      </c>
      <c r="W24" s="141">
        <v>10</v>
      </c>
    </row>
    <row r="25" spans="1:23" x14ac:dyDescent="0.3">
      <c r="B25" s="2"/>
      <c r="C25" s="111"/>
      <c r="D25" s="3" t="s">
        <v>15</v>
      </c>
      <c r="E25" s="4"/>
      <c r="J25"/>
      <c r="L25"/>
      <c r="M25" s="196" t="s">
        <v>16</v>
      </c>
      <c r="N25" s="197"/>
      <c r="O25" s="228"/>
      <c r="P25" s="229"/>
      <c r="Q25" s="171">
        <v>450000</v>
      </c>
      <c r="R25" s="172"/>
      <c r="S25" s="173"/>
      <c r="T25" s="194" t="s">
        <v>17</v>
      </c>
      <c r="U25" s="195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5">
        <v>50000</v>
      </c>
      <c r="R26" s="176"/>
      <c r="S26" s="177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78"/>
      <c r="P27" s="179"/>
      <c r="Q27" s="175">
        <v>300000</v>
      </c>
      <c r="R27" s="176"/>
      <c r="S27" s="177"/>
      <c r="T27" s="186" t="s">
        <v>19</v>
      </c>
      <c r="U27" s="187"/>
      <c r="V27" s="19"/>
      <c r="W27" s="97">
        <v>1000000</v>
      </c>
    </row>
    <row r="28" spans="1:23" x14ac:dyDescent="0.3">
      <c r="I28" s="118">
        <f>C1</f>
        <v>0</v>
      </c>
      <c r="J28" s="162">
        <f>C9</f>
        <v>0</v>
      </c>
      <c r="L28"/>
      <c r="M28" s="184" t="s">
        <v>20</v>
      </c>
      <c r="N28" s="185"/>
      <c r="O28" s="178"/>
      <c r="P28" s="179"/>
      <c r="Q28" s="175"/>
      <c r="R28" s="176"/>
      <c r="S28" s="177"/>
      <c r="T28" s="182" t="s">
        <v>39</v>
      </c>
      <c r="U28" s="183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84" t="s">
        <v>21</v>
      </c>
      <c r="N29" s="185"/>
      <c r="O29" s="178"/>
      <c r="P29" s="179"/>
      <c r="Q29" s="175"/>
      <c r="R29" s="176"/>
      <c r="S29" s="177"/>
      <c r="T29" s="180" t="s">
        <v>40</v>
      </c>
      <c r="U29" s="181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84" t="s">
        <v>22</v>
      </c>
      <c r="N30" s="185"/>
      <c r="O30" s="178"/>
      <c r="P30" s="198"/>
      <c r="Q30" s="175"/>
      <c r="R30" s="176"/>
      <c r="S30" s="177"/>
      <c r="T30" s="199" t="s">
        <v>41</v>
      </c>
      <c r="U30" s="200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84" t="s">
        <v>23</v>
      </c>
      <c r="N31" s="185"/>
      <c r="O31" s="178"/>
      <c r="P31" s="179"/>
      <c r="Q31" s="175"/>
      <c r="R31" s="176"/>
      <c r="S31" s="177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84" t="s">
        <v>24</v>
      </c>
      <c r="N32" s="185"/>
      <c r="O32" s="178"/>
      <c r="P32" s="179"/>
      <c r="Q32" s="175"/>
      <c r="R32" s="176"/>
      <c r="S32" s="177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78"/>
      <c r="P33" s="179"/>
      <c r="Q33" s="175"/>
      <c r="R33" s="176"/>
      <c r="S33" s="177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4" t="s">
        <v>26</v>
      </c>
      <c r="N34" s="205"/>
      <c r="O34" s="206"/>
      <c r="P34" s="207"/>
      <c r="Q34" s="175">
        <v>1000000</v>
      </c>
      <c r="R34" s="176"/>
      <c r="S34" s="177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217" t="s">
        <v>27</v>
      </c>
      <c r="N35" s="218"/>
      <c r="O35" s="219"/>
      <c r="P35" s="202" t="s">
        <v>28</v>
      </c>
      <c r="Q35" s="203"/>
      <c r="R35" s="202" t="s">
        <v>29</v>
      </c>
      <c r="S35" s="203"/>
      <c r="T35" s="202" t="s">
        <v>30</v>
      </c>
      <c r="U35" s="203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/>
      <c r="N37" s="38"/>
      <c r="O37" s="39"/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208" t="s">
        <v>42</v>
      </c>
      <c r="N38" s="226"/>
      <c r="O38" s="227"/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 t="inlineStr">
        <is>
          <t xml:space="preserve">01-01-2026</t>
        </is>
      </c>
      <c r="N39" s="38" t="inlineStr">
        <is>
          <t xml:space="preserve">SANTANDER</t>
        </is>
      </c>
      <c r="O39" s="39">
        <v>100000</v>
      </c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201"/>
      <c r="E43" s="201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201"/>
      <c r="E44" s="201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201"/>
      <c r="E45" s="201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201"/>
      <c r="E46" s="201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201"/>
      <c r="E47" s="201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201"/>
      <c r="E48" s="201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201"/>
      <c r="E49" s="201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213"/>
      <c r="E51" s="213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225"/>
      <c r="E52" s="225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212"/>
      <c r="E53" s="212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212"/>
      <c r="E54" s="212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212"/>
      <c r="E60" s="212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212"/>
      <c r="E64" s="212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212"/>
      <c r="E65" s="212"/>
      <c r="F65" s="20"/>
      <c r="G65" s="1"/>
      <c r="H65" s="50"/>
      <c r="I65" s="54"/>
      <c r="J65" s="57"/>
      <c r="L65"/>
      <c r="M65" s="208" t="s">
        <v>34</v>
      </c>
      <c r="N65" s="209"/>
      <c r="O65" s="46"/>
      <c r="P65" s="56" t="s">
        <v>11</v>
      </c>
      <c r="Q65" s="46"/>
      <c r="R65" s="56" t="s">
        <v>11</v>
      </c>
      <c r="S65" s="46"/>
      <c r="T65" s="56" t="s">
        <v>11</v>
      </c>
      <c r="U65" s="46"/>
    </row>
    <row r="66" spans="1:23" ht="15" thickBot="1" x14ac:dyDescent="0.35">
      <c r="A66" s="25"/>
      <c r="B66"/>
      <c r="C66" s="95"/>
      <c r="D66" s="212"/>
      <c r="E66" s="212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202" t="s">
        <v>47</v>
      </c>
      <c r="N67" s="216"/>
      <c r="O67" s="203"/>
      <c r="P67" s="214"/>
      <c r="Q67" s="215"/>
      <c r="R67" s="202" t="s">
        <v>37</v>
      </c>
      <c r="S67" s="216"/>
      <c r="T67" s="210" t="str">
        <f>Q25</f>
      </c>
      <c r="U67" s="211"/>
    </row>
    <row r="68" spans="1:23" ht="15.75" customHeight="1" thickBot="1" x14ac:dyDescent="0.35">
      <c r="A68" s="25"/>
      <c r="B68"/>
      <c r="C68" s="25"/>
      <c r="D68" s="212"/>
      <c r="E68" s="212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212"/>
      <c r="E69" s="212"/>
      <c r="F69" s="67"/>
      <c r="G69" s="1"/>
      <c r="H69" s="50"/>
      <c r="I69" s="54"/>
      <c r="J69"/>
      <c r="L69"/>
      <c r="M69" s="208" t="s">
        <v>35</v>
      </c>
      <c r="N69" s="226"/>
      <c r="O69" s="226"/>
      <c r="P69" s="226"/>
      <c r="Q69" s="226"/>
      <c r="R69" s="226"/>
      <c r="S69" s="226"/>
      <c r="T69" s="226"/>
      <c r="U69" s="227"/>
      <c r="V69" s="55"/>
    </row>
    <row r="70" spans="1:23" ht="15" thickBot="1" x14ac:dyDescent="0.35">
      <c r="A70" s="25"/>
      <c r="B70" s="20"/>
      <c r="C70" s="25"/>
      <c r="D70" s="212"/>
      <c r="E70" s="212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212"/>
      <c r="E71" s="212"/>
      <c r="F71" s="67"/>
      <c r="G71" s="1"/>
      <c r="H71" s="50"/>
      <c r="I71" s="54"/>
      <c r="J71" s="23"/>
      <c r="L71"/>
      <c r="M71" s="63"/>
      <c r="N71" s="64"/>
      <c r="O71" s="169" t="s">
        <v>43</v>
      </c>
      <c r="P71" s="66"/>
      <c r="Q71" s="65"/>
      <c r="R71" s="224" t="s">
        <v>6</v>
      </c>
      <c r="S71" s="224"/>
      <c r="T71" s="159"/>
      <c r="U71" s="160"/>
      <c r="V71" s="55"/>
    </row>
    <row r="72" spans="1:23" ht="15.6" x14ac:dyDescent="0.3">
      <c r="B72" s="55"/>
      <c r="C72" s="94"/>
      <c r="D72" s="212"/>
      <c r="E72" s="212"/>
      <c r="F72" s="67"/>
      <c r="I72" s="130"/>
      <c r="L72"/>
      <c r="M72" s="89"/>
      <c r="N72" s="90"/>
      <c r="O72" s="18"/>
      <c r="P72" s="91"/>
      <c r="Q72" s="60"/>
      <c r="R72" s="222"/>
      <c r="S72" s="222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 t="inlineStr">
        <is>
          <t xml:space="preserve">67890</t>
        </is>
      </c>
      <c r="M73" s="89" t="inlineStr">
        <is>
          <t xml:space="preserve">CLIENTE UNO</t>
        </is>
      </c>
      <c r="N73" s="90"/>
      <c r="O73" s="18" t="s">
        <v>43</v>
      </c>
      <c r="P73" s="91" t="inlineStr">
        <is>
          <t xml:space="preserve">F001</t>
        </is>
      </c>
      <c r="Q73" s="60"/>
      <c r="R73" s="222" t="s">
        <v>10</v>
      </c>
      <c r="S73" s="222"/>
      <c r="T73" s="69">
        <v>150000</v>
      </c>
      <c r="U73" s="100" t="inlineStr">
        <is>
          <t xml:space="preserve">Banco Santander</t>
        </is>
      </c>
      <c r="V73" s="55"/>
    </row>
    <row r="74" spans="1:23" ht="15.6" x14ac:dyDescent="0.3">
      <c r="L74" s="49"/>
      <c r="M74" s="89"/>
      <c r="N74" s="90"/>
      <c r="O74" s="147"/>
      <c r="P74" s="91"/>
      <c r="Q74" s="60"/>
      <c r="R74" s="222"/>
      <c r="S74" s="222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223"/>
      <c r="S75" s="223"/>
      <c r="T75" s="220"/>
      <c r="U75" s="221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220"/>
      <c r="U76" s="221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</sheetData>
  <mergeCells count="70">
    <mergeCell ref="D71:E71"/>
    <mergeCell ref="D72:E72"/>
    <mergeCell ref="D52:E52"/>
    <mergeCell ref="M69:U69"/>
    <mergeCell ref="R67:S67"/>
    <mergeCell ref="D68:E68"/>
    <mergeCell ref="D70:E70"/>
    <mergeCell ref="T76:U76"/>
    <mergeCell ref="R74:S74"/>
    <mergeCell ref="R75:S75"/>
    <mergeCell ref="R71:S71"/>
    <mergeCell ref="R73:S73"/>
    <mergeCell ref="R72:S72"/>
    <mergeCell ref="T75:U75"/>
    <mergeCell ref="D69:E69"/>
    <mergeCell ref="M67:O67"/>
    <mergeCell ref="M35:O35"/>
    <mergeCell ref="D44:E44"/>
    <mergeCell ref="D46:E46"/>
    <mergeCell ref="M65:N65"/>
    <mergeCell ref="M38:O38"/>
    <mergeCell ref="O32:P32"/>
    <mergeCell ref="P35:Q35"/>
    <mergeCell ref="T67:U67"/>
    <mergeCell ref="D60:E60"/>
    <mergeCell ref="D66:E66"/>
    <mergeCell ref="D53:E53"/>
    <mergeCell ref="D51:E51"/>
    <mergeCell ref="D65:E65"/>
    <mergeCell ref="D54:E54"/>
    <mergeCell ref="D64:E64"/>
    <mergeCell ref="D48:E48"/>
    <mergeCell ref="D49:E49"/>
    <mergeCell ref="D47:E47"/>
    <mergeCell ref="D45:E45"/>
    <mergeCell ref="P67:Q67"/>
    <mergeCell ref="T30:U30"/>
    <mergeCell ref="Q32:S32"/>
    <mergeCell ref="D43:E43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M25:N25"/>
    <mergeCell ref="O30:P30"/>
    <mergeCell ref="Q30:S30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2026-07-01T14:42:08Z</dcterms:modified>
</cp:coreProperties>
</file>