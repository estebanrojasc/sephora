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703A2F14-26FE-40C5-A4C3-CF31C833DA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men" sheetId="1" r:id="rId1"/>
    <sheet name="RUTA 111" sheetId="2" r:id="rId6"/>
    <sheet name="RUTA 222" sheetId="3" r:id="rId7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<sst xmlns="http://schemas.openxmlformats.org/spreadsheetml/2006/main" count="131" uniqueCount="100">
  <si>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</si>
  <si>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</si>
  <si>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</si>
  <si>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</si>
  <si>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</si>
  <si>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</si>
  <si>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</si>
  <si>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</si>
  <si>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</si>
  <si>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</si>
  <si>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</si>
  <si>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</si>
  <si>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</si>
  <si>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</si>
  <si>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</si>
  <si>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</si>
  <si>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</si>
  <si>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</si>
  <si>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</si>
  <si>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</si>
  <si>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</si>
  <si>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</si>
  <si>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</si>
  <si>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</si>
  <si>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</si>
  <si>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</si>
  <si>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</si>
  <si>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</si>
  <si>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</si>
  <si>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</si>
  <si>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</si>
  <si>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</si>
  <si>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</si>
  <si>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</si>
  <si>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</si>
  <si>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</si>
  <si>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</si>
  <si>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</si>
  <si>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</si>
  <si>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</si>
  <si>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</si>
  <si>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</si>
  <si>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</si>
  <si>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</si>
  <si>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</si>
  <si>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</si>
  <si>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</si>
  <si>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</si>
  <si>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</si>
  <si>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</si>
  <si>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</si>
  <si>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</si>
  <si>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</si>
  <si>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</si>
  <si>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</si>
  <si>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</si>
  <si>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</si>
  <si>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</si>
  <si>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</si>
  <si>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</si>
  <si>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</si>
  <si>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</si>
  <si>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</si>
  <si>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</si>
  <si>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</si>
  <si>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</si>
  <si>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</si>
  <si>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</si>
  <si>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</si>
  <si>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</si>
  <si>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</si>
  <si>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</si>
  <si>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</si>
  <si>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</si>
  <si>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</si>
  <si>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{{extraction.auxiliar.valor}}</t>
  </si>
  <si>
    <t>{{extraction.conductor.valor}}</t>
  </si>
  <si>
    <t>{{extraction.cant_fact.valor}}</t>
  </si>
  <si>
    <t>{{extraction.n_recorrido.valor}}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</si>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</sst>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6" fillId="0" borderId="0" xfId="2" applyFont="1" applyBorder="1" applyAlignment="1"/>
    <xf numFmtId="0" fontId="6" fillId="0" borderId="0" xfId="0" applyFont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371331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8"/>
  <sheetViews>
    <sheetView workbookViewId="0"/>
  </sheetViews>
  <sheetFormatPr defaultRowHeight="15"/>
  <sheetData>
    <row r="1">
      <c r="A1" t="inlineStr">
        <is>
          <t>CAMPO</t>
        </is>
      </c>
      <c r="B1" t="inlineStr">
        <is>
          <t xml:space="preserve">111 · ANA</t>
        </is>
      </c>
      <c r="C1" t="inlineStr">
        <is>
          <t xml:space="preserve">222 · BOB</t>
        </is>
      </c>
    </row>
    <row r="2">
      <c r="A2" t="inlineStr">
        <is>
          <t>FECHA</t>
        </is>
      </c>
      <c r="B2"/>
      <c r="C2"/>
    </row>
    <row r="3">
      <c r="A3" t="inlineStr">
        <is>
          <t>CHOFER</t>
        </is>
      </c>
      <c r="B3" t="inlineStr">
        <is>
          <t xml:space="preserve">ANA</t>
        </is>
      </c>
      <c r="C3" t="inlineStr">
        <is>
          <t xml:space="preserve">BOB</t>
        </is>
      </c>
    </row>
    <row r="4">
      <c r="A4" t="inlineStr">
        <is>
          <t>AUXILIAR / PEONETA</t>
        </is>
      </c>
      <c r="B4"/>
      <c r="C4"/>
    </row>
    <row r="5">
      <c r="A5" t="inlineStr">
        <is>
          <t>RECORRIDO</t>
        </is>
      </c>
      <c r="B5" t="inlineStr">
        <is>
          <t xml:space="preserve">111</t>
        </is>
      </c>
      <c r="C5" t="inlineStr">
        <is>
          <t xml:space="preserve">222</t>
        </is>
      </c>
    </row>
    <row r="6">
      <c r="A6" t="inlineStr">
        <is>
          <t>PATENTE</t>
        </is>
      </c>
      <c r="B6"/>
      <c r="C6"/>
    </row>
    <row r="7">
      <c r="A7" t="inlineStr">
        <is>
          <t>N° FACT.</t>
        </is>
      </c>
      <c r="B7">
        <v>5</v>
      </c>
      <c r="C7">
        <v>5</v>
      </c>
    </row>
    <row r="8">
      <c r="A8" t="inlineStr">
        <is>
          <t>TOTAL FACT.</t>
        </is>
      </c>
      <c r="B8">
        <v>500000</v>
      </c>
      <c r="C8">
        <v>500000</v>
      </c>
    </row>
    <row r="9">
      <c r="A9" t="inlineStr">
        <is>
          <t>EFECTIVO TOTAL</t>
        </is>
      </c>
      <c r="B9">
        <v>100000</v>
      </c>
      <c r="C9">
        <v>100000</v>
      </c>
    </row>
    <row r="10">
      <c r="A10" t="inlineStr">
        <is>
          <t>BILLETES</t>
        </is>
      </c>
      <c r="B10">
        <v>90000</v>
      </c>
      <c r="C10">
        <v>90000</v>
      </c>
    </row>
    <row r="11">
      <c r="A11" t="inlineStr">
        <is>
          <t>MONEDAS</t>
        </is>
      </c>
      <c r="B11">
        <v>10000</v>
      </c>
      <c r="C11">
        <v>10000</v>
      </c>
    </row>
    <row r="12">
      <c r="A12" t="inlineStr">
        <is>
          <t>CHEQUES AL DÍA</t>
        </is>
      </c>
      <c r="B12"/>
      <c r="C12"/>
    </row>
    <row r="13">
      <c r="A13" t="inlineStr">
        <is>
          <t>CHEQUES A FECHA</t>
        </is>
      </c>
      <c r="B13"/>
      <c r="C13"/>
    </row>
    <row r="14">
      <c r="A14" t="inlineStr">
        <is>
          <t>CRÉDITO VENDEDOR</t>
        </is>
      </c>
      <c r="B14"/>
      <c r="C14"/>
    </row>
    <row r="15">
      <c r="A15" t="inlineStr">
        <is>
          <t>NULOS (RETORNO TOTAL)</t>
        </is>
      </c>
      <c r="B15"/>
      <c r="C15"/>
    </row>
    <row r="16">
      <c r="A16" t="inlineStr">
        <is>
          <t>PARCIALES (RETORNO PARCIAL)</t>
        </is>
      </c>
      <c r="B16"/>
      <c r="C16"/>
    </row>
    <row r="17">
      <c r="A17" t="inlineStr">
        <is>
          <t>N/C NEGOCIO</t>
        </is>
      </c>
      <c r="B17"/>
      <c r="C17"/>
    </row>
    <row r="18">
      <c r="A18" t="inlineStr">
        <is>
          <t>TRANSFERENCIAS</t>
        </is>
      </c>
      <c r="B18"/>
      <c r="C18"/>
    </row>
    <row r="19">
      <c r="A19" t="inlineStr">
        <is>
          <t>TOTAL RENDICIÓN</t>
        </is>
      </c>
      <c r="B19">
        <v>500000</v>
      </c>
      <c r="C19">
        <v>500000</v>
      </c>
    </row>
    <row r="22">
      <c r="A22" t="inlineStr">
        <is>
          <t>TOTALES CONSOLIDADOS</t>
        </is>
      </c>
    </row>
    <row r="23">
      <c r="A23" t="inlineStr">
        <is>
          <t>N° FACT.</t>
        </is>
      </c>
      <c r="B23">
        <v>10</v>
      </c>
    </row>
    <row r="24">
      <c r="A24" t="inlineStr">
        <is>
          <t>TOTAL FACT.</t>
        </is>
      </c>
      <c r="B24">
        <v>1000000</v>
      </c>
    </row>
    <row r="25">
      <c r="A25" t="inlineStr">
        <is>
          <t>EFECTIVO TOTAL</t>
        </is>
      </c>
      <c r="B25">
        <v>200000</v>
      </c>
    </row>
    <row r="26">
      <c r="A26" t="inlineStr">
        <is>
          <t>BILLETES</t>
        </is>
      </c>
      <c r="B26">
        <v>180000</v>
      </c>
    </row>
    <row r="27">
      <c r="A27" t="inlineStr">
        <is>
          <t>MONEDAS</t>
        </is>
      </c>
      <c r="B27">
        <v>20000</v>
      </c>
    </row>
    <row r="28">
      <c r="A28" t="inlineStr">
        <is>
          <t>TOTAL RENDICIÓN</t>
        </is>
      </c>
      <c r="B28">
        <v>1000000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3" zoomScale="85" zoomScaleNormal="85" workbookViewId="0">
      <pane xSplit="1" topLeftCell="M1" activePane="topRight" state="frozenSplit"/>
      <selection activeCell="A49" sqref="A49"/>
      <selection pane="topRight" activeCell="W28" sqref="W28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ANA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/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111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5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500000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227">
        <v>90000</v>
      </c>
      <c r="C9" s="228"/>
      <c r="D9" s="229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227">
        <v>10000</v>
      </c>
      <c r="C10" s="228"/>
      <c r="D10" s="229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227"/>
      <c r="C11" s="228"/>
      <c r="D11" s="229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227"/>
      <c r="C12" s="228"/>
      <c r="D12" s="229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227"/>
      <c r="C13" s="228"/>
      <c r="D13" s="229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227"/>
      <c r="C14" s="228"/>
      <c r="D14" s="229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227"/>
      <c r="C15" s="228"/>
      <c r="D15" s="229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227"/>
      <c r="C16" s="228"/>
      <c r="D16" s="229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227"/>
      <c r="C17" s="228"/>
      <c r="D17" s="229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D23" s="6"/>
      <c r="J23"/>
      <c r="L23"/>
      <c r="M23" s="14" t="s">
        <v>13</v>
      </c>
      <c r="N23" s="221"/>
      <c r="O23" s="222"/>
      <c r="P23" s="222"/>
      <c r="Q23" s="222"/>
      <c r="R23" s="222"/>
      <c r="S23" s="223"/>
      <c r="T23" s="142" t="s">
        <v>38</v>
      </c>
      <c r="U23" s="115">
        <v>5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>
        <v>500000</v>
      </c>
      <c r="W24" s="141">
        <v>5</v>
      </c>
    </row>
    <row r="25" spans="1:23" x14ac:dyDescent="0.3">
      <c r="B25" s="2"/>
      <c r="C25" s="111"/>
      <c r="D25" s="3" t="s">
        <v>15</v>
      </c>
      <c r="E25" s="4"/>
      <c r="J25"/>
      <c r="L25"/>
      <c r="M25" s="209" t="s">
        <v>16</v>
      </c>
      <c r="N25" s="210"/>
      <c r="O25" s="211"/>
      <c r="P25" s="212"/>
      <c r="Q25" s="174">
        <v>90000</v>
      </c>
      <c r="R25" s="175"/>
      <c r="S25" s="176"/>
      <c r="T25" s="207" t="s">
        <v>17</v>
      </c>
      <c r="U25" s="208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4">
        <v>10000</v>
      </c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9"/>
      <c r="P27" s="200"/>
      <c r="Q27" s="174"/>
      <c r="R27" s="175"/>
      <c r="S27" s="176"/>
      <c r="T27" s="219" t="s">
        <v>19</v>
      </c>
      <c r="U27" s="220"/>
      <c r="V27" s="19"/>
      <c r="W27" s="97">
        <v>500000</v>
      </c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199"/>
      <c r="P28" s="200"/>
      <c r="Q28" s="174"/>
      <c r="R28" s="175"/>
      <c r="S28" s="176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199"/>
      <c r="P29" s="200"/>
      <c r="Q29" s="174"/>
      <c r="R29" s="175"/>
      <c r="S29" s="176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199"/>
      <c r="P30" s="213"/>
      <c r="Q30" s="174"/>
      <c r="R30" s="175"/>
      <c r="S30" s="176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199"/>
      <c r="P31" s="200"/>
      <c r="Q31" s="174"/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199"/>
      <c r="P32" s="200"/>
      <c r="Q32" s="174"/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9"/>
      <c r="P33" s="200"/>
      <c r="Q33" s="174"/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3" t="s">
        <v>26</v>
      </c>
      <c r="N34" s="204"/>
      <c r="O34" s="205"/>
      <c r="P34" s="206"/>
      <c r="Q34" s="174">
        <v>500000</v>
      </c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9" t="s">
        <v>28</v>
      </c>
      <c r="Q35" s="193"/>
      <c r="R35" s="189" t="s">
        <v>29</v>
      </c>
      <c r="S35" s="193"/>
      <c r="T35" s="189" t="s">
        <v>30</v>
      </c>
      <c r="U35" s="19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/>
      <c r="N37" s="38"/>
      <c r="O37" s="39"/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9" t="s">
        <v>42</v>
      </c>
      <c r="N38" s="180"/>
      <c r="O38" s="46"/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83"/>
      <c r="E43" s="183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83"/>
      <c r="E44" s="183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83"/>
      <c r="E45" s="183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83"/>
      <c r="E46" s="183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83"/>
      <c r="E47" s="183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83"/>
      <c r="E48" s="183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83"/>
      <c r="E49" s="183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84"/>
      <c r="E51" s="184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82"/>
      <c r="E52" s="182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81"/>
      <c r="E53" s="181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81"/>
      <c r="E54" s="181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81"/>
      <c r="E60" s="181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81"/>
      <c r="E64" s="181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81"/>
      <c r="E65" s="181"/>
      <c r="F65" s="20"/>
      <c r="G65" s="1"/>
      <c r="H65" s="50"/>
      <c r="I65" s="54"/>
      <c r="J65" s="57"/>
      <c r="L65"/>
      <c r="M65" s="179" t="s">
        <v>34</v>
      </c>
      <c r="N65" s="180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181"/>
      <c r="E66" s="181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9" t="s">
        <v>47</v>
      </c>
      <c r="N67" s="190"/>
      <c r="O67" s="193"/>
      <c r="P67" s="191"/>
      <c r="Q67" s="192"/>
      <c r="R67" s="189" t="s">
        <v>37</v>
      </c>
      <c r="S67" s="190"/>
      <c r="T67" s="185" t="str">
        <f>Q25</f>
      </c>
      <c r="U67" s="186"/>
    </row>
    <row r="68" spans="1:23" ht="15.75" customHeight="1" thickBot="1" x14ac:dyDescent="0.35">
      <c r="A68" s="25"/>
      <c r="B68"/>
      <c r="C68" s="25"/>
      <c r="D68" s="181"/>
      <c r="E68" s="181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81"/>
      <c r="E69" s="181"/>
      <c r="F69" s="67"/>
      <c r="G69" s="1"/>
      <c r="H69" s="50"/>
      <c r="I69" s="54"/>
      <c r="J69"/>
      <c r="L69"/>
      <c r="M69" s="179" t="s">
        <v>35</v>
      </c>
      <c r="N69" s="187"/>
      <c r="O69" s="187"/>
      <c r="P69" s="187"/>
      <c r="Q69" s="187"/>
      <c r="R69" s="187"/>
      <c r="S69" s="187"/>
      <c r="T69" s="187"/>
      <c r="U69" s="188"/>
      <c r="V69" s="55"/>
    </row>
    <row r="70" spans="1:23" ht="15" thickBot="1" x14ac:dyDescent="0.35">
      <c r="A70" s="25"/>
      <c r="B70" s="20"/>
      <c r="C70" s="25"/>
      <c r="D70" s="181"/>
      <c r="E70" s="181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81"/>
      <c r="E71" s="181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178" t="s">
        <v>6</v>
      </c>
      <c r="S71" s="178"/>
      <c r="T71" s="159"/>
      <c r="U71" s="160"/>
      <c r="V71" s="55"/>
    </row>
    <row r="72" spans="1:23" ht="15.6" x14ac:dyDescent="0.3">
      <c r="B72" s="55"/>
      <c r="C72" s="94"/>
      <c r="D72" s="181"/>
      <c r="E72" s="181"/>
      <c r="F72" s="67"/>
      <c r="I72" s="130"/>
      <c r="L72"/>
      <c r="M72" s="89"/>
      <c r="N72" s="90"/>
      <c r="O72" s="18"/>
      <c r="P72" s="91"/>
      <c r="Q72" s="60"/>
      <c r="R72" s="173"/>
      <c r="S72" s="173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/>
      <c r="M73" s="89"/>
      <c r="N73" s="90"/>
      <c r="O73" s="18" t="s">
        <v>43</v>
      </c>
      <c r="P73" s="91"/>
      <c r="Q73" s="60"/>
      <c r="R73" s="173" t="s">
        <v>10</v>
      </c>
      <c r="S73" s="173"/>
      <c r="T73" s="69"/>
      <c r="U73" s="100"/>
      <c r="V73" s="55"/>
    </row>
    <row r="74" spans="1:23" ht="15.6" x14ac:dyDescent="0.3">
      <c r="L74" s="49"/>
      <c r="M74" s="89"/>
      <c r="N74" s="90"/>
      <c r="O74" s="147"/>
      <c r="P74" s="91"/>
      <c r="Q74" s="60"/>
      <c r="R74" s="173"/>
      <c r="S74" s="173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77"/>
      <c r="S75" s="177"/>
      <c r="T75" s="171"/>
      <c r="U75" s="172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71"/>
      <c r="U76" s="172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38:N38"/>
    <mergeCell ref="M35:O35"/>
    <mergeCell ref="D44:E44"/>
    <mergeCell ref="O32:P32"/>
    <mergeCell ref="P35:Q35"/>
    <mergeCell ref="T67:U67"/>
    <mergeCell ref="M69:U69"/>
    <mergeCell ref="R67:S67"/>
    <mergeCell ref="D68:E68"/>
    <mergeCell ref="D70:E70"/>
    <mergeCell ref="P67:Q67"/>
    <mergeCell ref="D69:E69"/>
    <mergeCell ref="M67:O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D46:E46"/>
    <mergeCell ref="T76:U76"/>
    <mergeCell ref="R74:S74"/>
    <mergeCell ref="R75:S75"/>
    <mergeCell ref="R71:S71"/>
    <mergeCell ref="R73:S73"/>
    <mergeCell ref="R72:S72"/>
    <mergeCell ref="T75:U75"/>
    <mergeCell ref="M65:N65"/>
    <mergeCell ref="D71:E71"/>
    <mergeCell ref="D72:E72"/>
    <mergeCell ref="D52:E52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3" zoomScale="85" zoomScaleNormal="85" workbookViewId="0">
      <pane xSplit="1" topLeftCell="M1" activePane="topRight" state="frozenSplit"/>
      <selection activeCell="A49" sqref="A49"/>
      <selection pane="topRight" activeCell="W28" sqref="W28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BOB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/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222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5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500000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227">
        <v>90000</v>
      </c>
      <c r="C9" s="228"/>
      <c r="D9" s="229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227">
        <v>10000</v>
      </c>
      <c r="C10" s="228"/>
      <c r="D10" s="229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227"/>
      <c r="C11" s="228"/>
      <c r="D11" s="229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227"/>
      <c r="C12" s="228"/>
      <c r="D12" s="229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227"/>
      <c r="C13" s="228"/>
      <c r="D13" s="229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227"/>
      <c r="C14" s="228"/>
      <c r="D14" s="229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227"/>
      <c r="C15" s="228"/>
      <c r="D15" s="229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227"/>
      <c r="C16" s="228"/>
      <c r="D16" s="229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227"/>
      <c r="C17" s="228"/>
      <c r="D17" s="229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D23" s="6"/>
      <c r="J23"/>
      <c r="L23"/>
      <c r="M23" s="14" t="s">
        <v>13</v>
      </c>
      <c r="N23" s="221"/>
      <c r="O23" s="222"/>
      <c r="P23" s="222"/>
      <c r="Q23" s="222"/>
      <c r="R23" s="222"/>
      <c r="S23" s="223"/>
      <c r="T23" s="142" t="s">
        <v>38</v>
      </c>
      <c r="U23" s="115">
        <v>5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>
        <v>500000</v>
      </c>
      <c r="W24" s="141">
        <v>5</v>
      </c>
    </row>
    <row r="25" spans="1:23" x14ac:dyDescent="0.3">
      <c r="B25" s="2"/>
      <c r="C25" s="111"/>
      <c r="D25" s="3" t="s">
        <v>15</v>
      </c>
      <c r="E25" s="4"/>
      <c r="J25"/>
      <c r="L25"/>
      <c r="M25" s="209" t="s">
        <v>16</v>
      </c>
      <c r="N25" s="210"/>
      <c r="O25" s="211"/>
      <c r="P25" s="212"/>
      <c r="Q25" s="174">
        <v>90000</v>
      </c>
      <c r="R25" s="175"/>
      <c r="S25" s="176"/>
      <c r="T25" s="207" t="s">
        <v>17</v>
      </c>
      <c r="U25" s="208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4">
        <v>10000</v>
      </c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9"/>
      <c r="P27" s="200"/>
      <c r="Q27" s="174"/>
      <c r="R27" s="175"/>
      <c r="S27" s="176"/>
      <c r="T27" s="219" t="s">
        <v>19</v>
      </c>
      <c r="U27" s="220"/>
      <c r="V27" s="19"/>
      <c r="W27" s="97">
        <v>500000</v>
      </c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199"/>
      <c r="P28" s="200"/>
      <c r="Q28" s="174"/>
      <c r="R28" s="175"/>
      <c r="S28" s="176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199"/>
      <c r="P29" s="200"/>
      <c r="Q29" s="174"/>
      <c r="R29" s="175"/>
      <c r="S29" s="176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199"/>
      <c r="P30" s="213"/>
      <c r="Q30" s="174"/>
      <c r="R30" s="175"/>
      <c r="S30" s="176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199"/>
      <c r="P31" s="200"/>
      <c r="Q31" s="174"/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199"/>
      <c r="P32" s="200"/>
      <c r="Q32" s="174"/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9"/>
      <c r="P33" s="200"/>
      <c r="Q33" s="174"/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3" t="s">
        <v>26</v>
      </c>
      <c r="N34" s="204"/>
      <c r="O34" s="205"/>
      <c r="P34" s="206"/>
      <c r="Q34" s="174">
        <v>500000</v>
      </c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9" t="s">
        <v>28</v>
      </c>
      <c r="Q35" s="193"/>
      <c r="R35" s="189" t="s">
        <v>29</v>
      </c>
      <c r="S35" s="193"/>
      <c r="T35" s="189" t="s">
        <v>30</v>
      </c>
      <c r="U35" s="19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/>
      <c r="N37" s="38"/>
      <c r="O37" s="39"/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9" t="s">
        <v>42</v>
      </c>
      <c r="N38" s="180"/>
      <c r="O38" s="46"/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83"/>
      <c r="E43" s="183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83"/>
      <c r="E44" s="183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83"/>
      <c r="E45" s="183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83"/>
      <c r="E46" s="183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83"/>
      <c r="E47" s="183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83"/>
      <c r="E48" s="183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83"/>
      <c r="E49" s="183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84"/>
      <c r="E51" s="184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82"/>
      <c r="E52" s="182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81"/>
      <c r="E53" s="181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81"/>
      <c r="E54" s="181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81"/>
      <c r="E60" s="181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81"/>
      <c r="E64" s="181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81"/>
      <c r="E65" s="181"/>
      <c r="F65" s="20"/>
      <c r="G65" s="1"/>
      <c r="H65" s="50"/>
      <c r="I65" s="54"/>
      <c r="J65" s="57"/>
      <c r="L65"/>
      <c r="M65" s="179" t="s">
        <v>34</v>
      </c>
      <c r="N65" s="180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181"/>
      <c r="E66" s="181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9" t="s">
        <v>47</v>
      </c>
      <c r="N67" s="190"/>
      <c r="O67" s="193"/>
      <c r="P67" s="191"/>
      <c r="Q67" s="192"/>
      <c r="R67" s="189" t="s">
        <v>37</v>
      </c>
      <c r="S67" s="190"/>
      <c r="T67" s="185" t="str">
        <f>Q25</f>
      </c>
      <c r="U67" s="186"/>
    </row>
    <row r="68" spans="1:23" ht="15.75" customHeight="1" thickBot="1" x14ac:dyDescent="0.35">
      <c r="A68" s="25"/>
      <c r="B68"/>
      <c r="C68" s="25"/>
      <c r="D68" s="181"/>
      <c r="E68" s="181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81"/>
      <c r="E69" s="181"/>
      <c r="F69" s="67"/>
      <c r="G69" s="1"/>
      <c r="H69" s="50"/>
      <c r="I69" s="54"/>
      <c r="J69"/>
      <c r="L69"/>
      <c r="M69" s="179" t="s">
        <v>35</v>
      </c>
      <c r="N69" s="187"/>
      <c r="O69" s="187"/>
      <c r="P69" s="187"/>
      <c r="Q69" s="187"/>
      <c r="R69" s="187"/>
      <c r="S69" s="187"/>
      <c r="T69" s="187"/>
      <c r="U69" s="188"/>
      <c r="V69" s="55"/>
    </row>
    <row r="70" spans="1:23" ht="15" thickBot="1" x14ac:dyDescent="0.35">
      <c r="A70" s="25"/>
      <c r="B70" s="20"/>
      <c r="C70" s="25"/>
      <c r="D70" s="181"/>
      <c r="E70" s="181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81"/>
      <c r="E71" s="181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178" t="s">
        <v>6</v>
      </c>
      <c r="S71" s="178"/>
      <c r="T71" s="159"/>
      <c r="U71" s="160"/>
      <c r="V71" s="55"/>
    </row>
    <row r="72" spans="1:23" ht="15.6" x14ac:dyDescent="0.3">
      <c r="B72" s="55"/>
      <c r="C72" s="94"/>
      <c r="D72" s="181"/>
      <c r="E72" s="181"/>
      <c r="F72" s="67"/>
      <c r="I72" s="130"/>
      <c r="L72"/>
      <c r="M72" s="89"/>
      <c r="N72" s="90"/>
      <c r="O72" s="18"/>
      <c r="P72" s="91"/>
      <c r="Q72" s="60"/>
      <c r="R72" s="173"/>
      <c r="S72" s="173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/>
      <c r="M73" s="89"/>
      <c r="N73" s="90"/>
      <c r="O73" s="18" t="s">
        <v>43</v>
      </c>
      <c r="P73" s="91"/>
      <c r="Q73" s="60"/>
      <c r="R73" s="173" t="s">
        <v>10</v>
      </c>
      <c r="S73" s="173"/>
      <c r="T73" s="69"/>
      <c r="U73" s="100"/>
      <c r="V73" s="55"/>
    </row>
    <row r="74" spans="1:23" ht="15.6" x14ac:dyDescent="0.3">
      <c r="L74" s="49"/>
      <c r="M74" s="89"/>
      <c r="N74" s="90"/>
      <c r="O74" s="147"/>
      <c r="P74" s="91"/>
      <c r="Q74" s="60"/>
      <c r="R74" s="173"/>
      <c r="S74" s="173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77"/>
      <c r="S75" s="177"/>
      <c r="T75" s="171"/>
      <c r="U75" s="172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71"/>
      <c r="U76" s="172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38:N38"/>
    <mergeCell ref="M35:O35"/>
    <mergeCell ref="D44:E44"/>
    <mergeCell ref="O32:P32"/>
    <mergeCell ref="P35:Q35"/>
    <mergeCell ref="T67:U67"/>
    <mergeCell ref="M69:U69"/>
    <mergeCell ref="R67:S67"/>
    <mergeCell ref="D68:E68"/>
    <mergeCell ref="D70:E70"/>
    <mergeCell ref="P67:Q67"/>
    <mergeCell ref="D69:E69"/>
    <mergeCell ref="M67:O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D46:E46"/>
    <mergeCell ref="T76:U76"/>
    <mergeCell ref="R74:S74"/>
    <mergeCell ref="R75:S75"/>
    <mergeCell ref="R71:S71"/>
    <mergeCell ref="R73:S73"/>
    <mergeCell ref="R72:S72"/>
    <mergeCell ref="T75:U75"/>
    <mergeCell ref="M65:N65"/>
    <mergeCell ref="D71:E71"/>
    <mergeCell ref="D72:E72"/>
    <mergeCell ref="D52:E52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2026-06-25T00:25:13Z</dcterms:modified>
</cp:coreProperties>
</file>