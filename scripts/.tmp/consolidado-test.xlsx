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695E1391-83E3-46CC-9DD5-F4B9257BEDB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esumen" sheetId="1" r:id="rId1"/>
    <sheet name="RUTA 111" sheetId="2" r:id="rId6"/>
    <sheet name="RUTA 222" sheetId="3" r:id="rId7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<sst xmlns="http://schemas.openxmlformats.org/spreadsheetml/2006/main" count="136" uniqueCount="107">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</sst>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1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8" fillId="0" borderId="20" xfId="0" applyFont="1" applyBorder="1" applyAlignment="1">
      <alignment horizontal="center"/>
    </xf>
    <xf numFmtId="0" fontId="8" fillId="0" borderId="24" xfId="0" applyFont="1" applyBorder="1" applyAlignment="1">
      <alignment horizontal="center" vertical="center"/>
    </xf>
    <xf numFmtId="4" fontId="8" fillId="0" borderId="0" xfId="0" applyNumberFormat="1" applyFont="1"/>
    <xf numFmtId="0" fontId="8" fillId="0" borderId="24" xfId="0" applyFont="1" applyBorder="1" applyAlignment="1">
      <alignment horizontal="center"/>
    </xf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3" fontId="0" fillId="0" borderId="1" xfId="0" applyNumberFormat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3" fontId="0" fillId="0" borderId="3" xfId="0" applyNumberFormat="1" applyBorder="1" applyAlignment="1">
      <alignment horizontal="righ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5" fontId="0" fillId="0" borderId="3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2" xfId="0" applyNumberFormat="1" applyBorder="1"/>
    <xf numFmtId="165" fontId="0" fillId="0" borderId="1" xfId="0" applyNumberFormat="1" applyBorder="1" applyAlignment="1">
      <alignment horizontal="center"/>
    </xf>
    <xf numFmtId="0" fontId="13" fillId="0" borderId="0" xfId="0" applyFont="1"/>
    <xf numFmtId="42" fontId="13" fillId="0" borderId="0" xfId="0" applyNumberFormat="1" applyFont="1"/>
    <xf numFmtId="42" fontId="19" fillId="0" borderId="0" xfId="0" applyNumberFormat="1" applyFont="1" applyAlignment="1">
      <alignment horizontal="center" vertical="center"/>
    </xf>
    <xf numFmtId="164" fontId="13" fillId="0" borderId="0" xfId="0" applyNumberFormat="1" applyFont="1"/>
    <xf numFmtId="3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71" fontId="0" fillId="0" borderId="1" xfId="1" applyNumberFormat="1" applyFont="1" applyFill="1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42" fontId="0" fillId="3" borderId="0" xfId="0" applyNumberFormat="1" applyFill="1"/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42" fontId="0" fillId="0" borderId="23" xfId="3" applyFont="1" applyFill="1" applyBorder="1" applyAlignment="1">
      <alignment horizontal="righ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4" borderId="0" xfId="2" applyFont="1" applyFill="1" applyBorder="1" applyAlignment="1">
      <alignment horizontal="center" vertical="center"/>
    </xf>
    <xf numFmtId="169" fontId="4" fillId="5" borderId="21" xfId="0" applyNumberFormat="1" applyFont="1" applyFill="1" applyBorder="1" applyAlignment="1">
      <alignment vertical="center"/>
    </xf>
    <xf numFmtId="167" fontId="4" fillId="5" borderId="0" xfId="1" applyNumberFormat="1" applyFont="1" applyFill="1" applyBorder="1" applyAlignment="1">
      <alignment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top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0" fontId="6" fillId="0" borderId="6" xfId="0" applyFont="1" applyBorder="1"/>
    <xf numFmtId="0" fontId="6" fillId="0" borderId="8" xfId="0" applyFont="1" applyBorder="1"/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167" fontId="18" fillId="5" borderId="0" xfId="1" applyNumberFormat="1" applyFont="1" applyFill="1" applyBorder="1" applyAlignment="1">
      <alignment horizontal="center" vertical="center"/>
    </xf>
    <xf numFmtId="167" fontId="18" fillId="5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42" fontId="6" fillId="0" borderId="0" xfId="2" applyFont="1" applyBorder="1" applyAlignment="1"/>
    <xf numFmtId="168" fontId="6" fillId="0" borderId="33" xfId="0" applyNumberFormat="1" applyFont="1" applyBorder="1" applyAlignment="1">
      <alignment horizontal="center" vertic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3" xfId="0" applyNumberFormat="1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68" fontId="6" fillId="0" borderId="30" xfId="0" applyNumberFormat="1" applyFont="1" applyBorder="1" applyAlignment="1">
      <alignment vertic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361806</xdr:colOff>
      <xdr:row>33</xdr:row>
      <xdr:rowOff>137072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zoomScale="85" zoomScaleNormal="85" workbookViewId="0">
      <pane xSplit="1" topLeftCell="B1" activePane="topRight" state="frozenSplit"/>
      <selection activeCell="A49" sqref="A49"/>
      <selection pane="topRight" activeCell="M39" sqref="M39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ANA</t>
        </is>
      </c>
      <c r="C1" s="143" t="inlineStr">
        <is>
          <t xml:space="preserve">BOB</t>
        </is>
      </c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/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111</t>
        </is>
      </c>
      <c r="C5" s="154" t="inlineStr">
        <is>
          <t xml:space="preserve">222</t>
        </is>
      </c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 s="0">
        <v>5</v>
      </c>
      <c r="C6" s="0">
        <v>5</v>
      </c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72" x14ac:dyDescent="0.3">
      <c r="A7" s="127" t="s">
        <v>2</v>
      </c>
      <c r="B7" s="155">
        <v>500000</v>
      </c>
      <c r="C7" s="155">
        <v>500000</v>
      </c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 t="inlineStr">
        <is>
          <t xml:space="preserve">111 · ANA</t>
        </is>
      </c>
      <c r="C8" s="123" t="inlineStr">
        <is>
          <t xml:space="preserve">222 · BOB</t>
        </is>
      </c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171">
        <v>90000</v>
      </c>
      <c r="C9" s="172">
        <v>90000</v>
      </c>
      <c r="D9" s="173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171">
        <v>10000</v>
      </c>
      <c r="C10" s="172">
        <v>10000</v>
      </c>
      <c r="D10" s="173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171"/>
      <c r="C11" s="172"/>
      <c r="D11" s="173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171"/>
      <c r="C12" s="172"/>
      <c r="D12" s="173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171"/>
      <c r="C13" s="172"/>
      <c r="D13" s="173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171"/>
      <c r="C14" s="172"/>
      <c r="D14" s="173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171"/>
      <c r="C15" s="172"/>
      <c r="D15" s="173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171"/>
      <c r="C16" s="172"/>
      <c r="D16" s="173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171"/>
      <c r="C17" s="172"/>
      <c r="D17" s="173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 t="inlineStr">
        <is>
          <t xml:space="preserve">TOTALES CONSOLIDADOS</t>
        </is>
      </c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B22" s="0">
        <v>10</v>
      </c>
      <c r="D22" s="2"/>
      <c r="M22" s="215" t="s">
        <v>48</v>
      </c>
      <c r="N22" s="215"/>
      <c r="O22" s="215"/>
      <c r="P22" s="215"/>
      <c r="Q22" s="215"/>
      <c r="R22" s="215"/>
      <c r="S22" s="215"/>
      <c r="T22" s="215"/>
      <c r="U22" s="215"/>
    </row>
    <row r="23" spans="1:23" ht="16.2" thickBot="1" x14ac:dyDescent="0.35">
      <c r="B23" s="0">
        <v>1000000</v>
      </c>
      <c r="D23" s="6"/>
      <c r="J23"/>
      <c r="L23"/>
      <c r="M23" s="14" t="s">
        <v>13</v>
      </c>
      <c r="N23" s="222"/>
      <c r="O23" s="223"/>
      <c r="P23" s="223"/>
      <c r="Q23" s="223"/>
      <c r="R23" s="223"/>
      <c r="S23" s="224"/>
      <c r="T23" s="142" t="s">
        <v>38</v>
      </c>
      <c r="U23" s="115">
        <v>10</v>
      </c>
      <c r="W23" s="96" t="s">
        <v>44</v>
      </c>
    </row>
    <row r="24" spans="1:23" ht="16.2" thickBot="1" x14ac:dyDescent="0.35">
      <c r="B24" s="2">
        <v>180000</v>
      </c>
      <c r="C24" s="18"/>
      <c r="J24"/>
      <c r="K24" s="15"/>
      <c r="L24"/>
      <c r="M24" s="16"/>
      <c r="N24" s="225" t="s">
        <v>49</v>
      </c>
      <c r="O24" s="226"/>
      <c r="P24" s="226"/>
      <c r="Q24" s="226"/>
      <c r="R24" s="226"/>
      <c r="S24" s="227"/>
      <c r="T24" s="117" t="s">
        <v>11</v>
      </c>
      <c r="U24" s="116">
        <v>1000000</v>
      </c>
      <c r="W24" s="141">
        <v>10</v>
      </c>
    </row>
    <row r="25" spans="1:23" x14ac:dyDescent="0.3">
      <c r="B25" s="2">
        <v>20000</v>
      </c>
      <c r="C25" s="111"/>
      <c r="D25" s="3" t="s">
        <v>15</v>
      </c>
      <c r="E25" s="4"/>
      <c r="J25"/>
      <c r="L25"/>
      <c r="M25" s="212" t="s">
        <v>16</v>
      </c>
      <c r="N25" s="213"/>
      <c r="O25" s="174"/>
      <c r="P25" s="175"/>
      <c r="Q25" s="171">
        <v>180000</v>
      </c>
      <c r="R25" s="172"/>
      <c r="S25" s="173"/>
      <c r="T25" s="228" t="s">
        <v>17</v>
      </c>
      <c r="U25" s="229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203">
        <v>20000</v>
      </c>
      <c r="R26" s="204"/>
      <c r="S26" s="205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94"/>
      <c r="P27" s="195"/>
      <c r="Q27" s="203"/>
      <c r="R27" s="204"/>
      <c r="S27" s="205"/>
      <c r="T27" s="220" t="s">
        <v>19</v>
      </c>
      <c r="U27" s="221"/>
      <c r="V27" s="19"/>
      <c r="W27" s="97">
        <v>1000000</v>
      </c>
    </row>
    <row r="28" spans="1:23" x14ac:dyDescent="0.3">
      <c r="I28" s="118">
        <f>C1</f>
        <v>0</v>
      </c>
      <c r="J28" s="162">
        <f>C9</f>
        <v>0</v>
      </c>
      <c r="L28"/>
      <c r="M28" s="210" t="s">
        <v>20</v>
      </c>
      <c r="N28" s="211"/>
      <c r="O28" s="194"/>
      <c r="P28" s="195"/>
      <c r="Q28" s="203"/>
      <c r="R28" s="204"/>
      <c r="S28" s="205"/>
      <c r="T28" s="218" t="s">
        <v>39</v>
      </c>
      <c r="U28" s="219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210" t="s">
        <v>21</v>
      </c>
      <c r="N29" s="211"/>
      <c r="O29" s="194"/>
      <c r="P29" s="195"/>
      <c r="Q29" s="203"/>
      <c r="R29" s="204"/>
      <c r="S29" s="205"/>
      <c r="T29" s="216" t="s">
        <v>40</v>
      </c>
      <c r="U29" s="217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210" t="s">
        <v>22</v>
      </c>
      <c r="N30" s="211"/>
      <c r="O30" s="194"/>
      <c r="P30" s="214"/>
      <c r="Q30" s="203"/>
      <c r="R30" s="204"/>
      <c r="S30" s="205"/>
      <c r="T30" s="201" t="s">
        <v>41</v>
      </c>
      <c r="U30" s="202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210" t="s">
        <v>23</v>
      </c>
      <c r="N31" s="211"/>
      <c r="O31" s="194"/>
      <c r="P31" s="195"/>
      <c r="Q31" s="203"/>
      <c r="R31" s="204"/>
      <c r="S31" s="205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210" t="s">
        <v>24</v>
      </c>
      <c r="N32" s="211"/>
      <c r="O32" s="194"/>
      <c r="P32" s="195"/>
      <c r="Q32" s="203"/>
      <c r="R32" s="204"/>
      <c r="S32" s="205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4"/>
      <c r="P33" s="195"/>
      <c r="Q33" s="203"/>
      <c r="R33" s="204"/>
      <c r="S33" s="205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6" t="s">
        <v>26</v>
      </c>
      <c r="N34" s="207"/>
      <c r="O34" s="208"/>
      <c r="P34" s="209"/>
      <c r="Q34" s="203">
        <v>1000000</v>
      </c>
      <c r="R34" s="204"/>
      <c r="S34" s="205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89" t="s">
        <v>27</v>
      </c>
      <c r="N35" s="190"/>
      <c r="O35" s="191"/>
      <c r="P35" s="181" t="s">
        <v>28</v>
      </c>
      <c r="Q35" s="188"/>
      <c r="R35" s="181" t="s">
        <v>29</v>
      </c>
      <c r="S35" s="188"/>
      <c r="T35" s="181" t="s">
        <v>30</v>
      </c>
      <c r="U35" s="188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/>
      <c r="N37" s="38"/>
      <c r="O37" s="39"/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178" t="s">
        <v>42</v>
      </c>
      <c r="N38" s="179"/>
      <c r="O38" s="230"/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/>
      <c r="N39" s="38"/>
      <c r="O39" s="39"/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192"/>
      <c r="E43" s="192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192"/>
      <c r="E44" s="192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192"/>
      <c r="E45" s="192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192"/>
      <c r="E46" s="192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192"/>
      <c r="E47" s="192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92"/>
      <c r="E48" s="192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192"/>
      <c r="E49" s="192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198"/>
      <c r="E51" s="198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177"/>
      <c r="E52" s="177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176"/>
      <c r="E53" s="176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176"/>
      <c r="E54" s="176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176"/>
      <c r="E60" s="176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176"/>
      <c r="E64" s="176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176"/>
      <c r="E65" s="176"/>
      <c r="F65" s="20"/>
      <c r="G65" s="1"/>
      <c r="H65" s="50"/>
      <c r="I65" s="54"/>
      <c r="J65" s="57"/>
      <c r="L65"/>
      <c r="M65" s="178" t="s">
        <v>34</v>
      </c>
      <c r="N65" s="193"/>
      <c r="O65" s="46"/>
      <c r="P65" s="56" t="s">
        <v>11</v>
      </c>
      <c r="Q65" s="46"/>
      <c r="R65" s="56" t="s">
        <v>11</v>
      </c>
      <c r="S65" s="46"/>
      <c r="T65" s="56" t="s">
        <v>11</v>
      </c>
      <c r="U65" s="46"/>
    </row>
    <row r="66" spans="1:23" ht="15" thickBot="1" x14ac:dyDescent="0.35">
      <c r="A66" s="25"/>
      <c r="B66"/>
      <c r="C66" s="95"/>
      <c r="D66" s="176"/>
      <c r="E66" s="176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81" t="s">
        <v>47</v>
      </c>
      <c r="N67" s="182"/>
      <c r="O67" s="188"/>
      <c r="P67" s="199"/>
      <c r="Q67" s="200"/>
      <c r="R67" s="181" t="s">
        <v>37</v>
      </c>
      <c r="S67" s="182"/>
      <c r="T67" s="196" t="str">
        <f>Q25</f>
      </c>
      <c r="U67" s="197"/>
    </row>
    <row r="68" spans="1:23" ht="15.75" customHeight="1" thickBot="1" x14ac:dyDescent="0.35">
      <c r="A68" s="25"/>
      <c r="B68"/>
      <c r="C68" s="25"/>
      <c r="D68" s="176"/>
      <c r="E68" s="176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176"/>
      <c r="E69" s="176"/>
      <c r="F69" s="67"/>
      <c r="G69" s="1"/>
      <c r="H69" s="50"/>
      <c r="I69" s="54"/>
      <c r="J69"/>
      <c r="L69"/>
      <c r="M69" s="178" t="s">
        <v>35</v>
      </c>
      <c r="N69" s="179"/>
      <c r="O69" s="179"/>
      <c r="P69" s="179"/>
      <c r="Q69" s="179"/>
      <c r="R69" s="179"/>
      <c r="S69" s="179"/>
      <c r="T69" s="179"/>
      <c r="U69" s="180"/>
      <c r="V69" s="55"/>
    </row>
    <row r="70" spans="1:23" ht="15" thickBot="1" x14ac:dyDescent="0.35">
      <c r="A70" s="25"/>
      <c r="B70" s="20"/>
      <c r="C70" s="25"/>
      <c r="D70" s="176"/>
      <c r="E70" s="176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176"/>
      <c r="E71" s="176"/>
      <c r="F71" s="67"/>
      <c r="G71" s="1"/>
      <c r="H71" s="50"/>
      <c r="I71" s="54"/>
      <c r="J71" s="23"/>
      <c r="L71"/>
      <c r="M71" s="63"/>
      <c r="N71" s="64"/>
      <c r="O71" s="169" t="s">
        <v>43</v>
      </c>
      <c r="P71" s="66"/>
      <c r="Q71" s="65"/>
      <c r="R71" s="187" t="s">
        <v>6</v>
      </c>
      <c r="S71" s="187"/>
      <c r="T71" s="159"/>
      <c r="U71" s="160"/>
      <c r="V71" s="55"/>
    </row>
    <row r="72" spans="1:23" ht="15.6" x14ac:dyDescent="0.3">
      <c r="B72" s="55"/>
      <c r="C72" s="94"/>
      <c r="D72" s="176"/>
      <c r="E72" s="176"/>
      <c r="F72" s="67"/>
      <c r="I72" s="130"/>
      <c r="L72"/>
      <c r="M72" s="89"/>
      <c r="N72" s="90"/>
      <c r="O72" s="18"/>
      <c r="P72" s="91"/>
      <c r="Q72" s="60"/>
      <c r="R72" s="185"/>
      <c r="S72" s="185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/>
      <c r="M73" s="89"/>
      <c r="N73" s="90"/>
      <c r="O73" s="18" t="s">
        <v>43</v>
      </c>
      <c r="P73" s="91"/>
      <c r="Q73" s="60"/>
      <c r="R73" s="185" t="s">
        <v>10</v>
      </c>
      <c r="S73" s="185"/>
      <c r="T73" s="69"/>
      <c r="U73" s="100"/>
      <c r="V73" s="55"/>
    </row>
    <row r="74" spans="1:23" ht="15.6" x14ac:dyDescent="0.3">
      <c r="L74" s="49"/>
      <c r="M74" s="89"/>
      <c r="N74" s="90"/>
      <c r="O74" s="147"/>
      <c r="P74" s="91"/>
      <c r="Q74" s="60"/>
      <c r="R74" s="185"/>
      <c r="S74" s="185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186"/>
      <c r="S75" s="186"/>
      <c r="T75" s="183"/>
      <c r="U75" s="184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183"/>
      <c r="U76" s="184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</sheetData>
  <mergeCells count="70">
    <mergeCell ref="N23:S23"/>
    <mergeCell ref="N24:S24"/>
    <mergeCell ref="T25:U25"/>
    <mergeCell ref="M38:N38"/>
    <mergeCell ref="M25:N25"/>
    <mergeCell ref="O30:P30"/>
    <mergeCell ref="Q30:S30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O32:P32"/>
    <mergeCell ref="P35:Q35"/>
    <mergeCell ref="T67:U67"/>
    <mergeCell ref="D60:E60"/>
    <mergeCell ref="D66:E66"/>
    <mergeCell ref="D53:E53"/>
    <mergeCell ref="D51:E51"/>
    <mergeCell ref="D65:E65"/>
    <mergeCell ref="D54:E54"/>
    <mergeCell ref="D64:E64"/>
    <mergeCell ref="D48:E48"/>
    <mergeCell ref="D49:E49"/>
    <mergeCell ref="D47:E47"/>
    <mergeCell ref="D45:E45"/>
    <mergeCell ref="P67:Q67"/>
    <mergeCell ref="M35:O35"/>
    <mergeCell ref="D44:E44"/>
    <mergeCell ref="D46:E46"/>
    <mergeCell ref="M65:N65"/>
    <mergeCell ref="T76:U76"/>
    <mergeCell ref="R74:S74"/>
    <mergeCell ref="R75:S75"/>
    <mergeCell ref="R71:S71"/>
    <mergeCell ref="R73:S73"/>
    <mergeCell ref="R72:S72"/>
    <mergeCell ref="T75:U75"/>
    <mergeCell ref="D71:E71"/>
    <mergeCell ref="D72:E72"/>
    <mergeCell ref="D52:E52"/>
    <mergeCell ref="M69:U69"/>
    <mergeCell ref="R67:S67"/>
    <mergeCell ref="D68:E68"/>
    <mergeCell ref="D70:E70"/>
    <mergeCell ref="D69:E69"/>
    <mergeCell ref="M67:O67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zoomScale="85" zoomScaleNormal="85" workbookViewId="0">
      <pane xSplit="1" topLeftCell="B1" activePane="topRight" state="frozenSplit"/>
      <selection activeCell="A49" sqref="A49"/>
      <selection pane="topRight" activeCell="M39" sqref="M39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ANA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s">
        <v>101</v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 t="s">
        <v>102</v>
      </c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 t="s">
        <v>103</v>
      </c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111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5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72" x14ac:dyDescent="0.3">
      <c r="A7" s="127" t="s">
        <v>2</v>
      </c>
      <c r="B7" s="155">
        <v>500000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171">
        <v>90000</v>
      </c>
      <c r="C9" s="172"/>
      <c r="D9" s="173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171">
        <v>10000</v>
      </c>
      <c r="C10" s="172"/>
      <c r="D10" s="173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171"/>
      <c r="C11" s="172"/>
      <c r="D11" s="173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171"/>
      <c r="C12" s="172"/>
      <c r="D12" s="173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171"/>
      <c r="C13" s="172"/>
      <c r="D13" s="173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171"/>
      <c r="C14" s="172"/>
      <c r="D14" s="173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171"/>
      <c r="C15" s="172"/>
      <c r="D15" s="173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171"/>
      <c r="C16" s="172"/>
      <c r="D16" s="173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171"/>
      <c r="C17" s="172"/>
      <c r="D17" s="173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215" t="s">
        <v>48</v>
      </c>
      <c r="N22" s="215"/>
      <c r="O22" s="215"/>
      <c r="P22" s="215"/>
      <c r="Q22" s="215"/>
      <c r="R22" s="215"/>
      <c r="S22" s="215"/>
      <c r="T22" s="215"/>
      <c r="U22" s="215"/>
    </row>
    <row r="23" spans="1:23" ht="16.2" thickBot="1" x14ac:dyDescent="0.35">
      <c r="D23" s="6"/>
      <c r="J23"/>
      <c r="L23"/>
      <c r="M23" s="14" t="s">
        <v>13</v>
      </c>
      <c r="N23" s="222"/>
      <c r="O23" s="223"/>
      <c r="P23" s="223"/>
      <c r="Q23" s="223"/>
      <c r="R23" s="223"/>
      <c r="S23" s="224"/>
      <c r="T23" s="142" t="s">
        <v>38</v>
      </c>
      <c r="U23" s="115">
        <v>5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25" t="s">
        <v>49</v>
      </c>
      <c r="O24" s="226"/>
      <c r="P24" s="226"/>
      <c r="Q24" s="226"/>
      <c r="R24" s="226"/>
      <c r="S24" s="227"/>
      <c r="T24" s="117" t="s">
        <v>11</v>
      </c>
      <c r="U24" s="116">
        <v>500000</v>
      </c>
      <c r="W24" s="141">
        <v>5</v>
      </c>
    </row>
    <row r="25" spans="1:23" x14ac:dyDescent="0.3">
      <c r="B25" s="2"/>
      <c r="C25" s="111"/>
      <c r="D25" s="3" t="s">
        <v>15</v>
      </c>
      <c r="E25" s="4"/>
      <c r="J25"/>
      <c r="L25"/>
      <c r="M25" s="212" t="s">
        <v>16</v>
      </c>
      <c r="N25" s="213"/>
      <c r="O25" s="174"/>
      <c r="P25" s="175"/>
      <c r="Q25" s="171">
        <v>90000</v>
      </c>
      <c r="R25" s="172"/>
      <c r="S25" s="173"/>
      <c r="T25" s="228" t="s">
        <v>17</v>
      </c>
      <c r="U25" s="229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203">
        <v>10000</v>
      </c>
      <c r="R26" s="204"/>
      <c r="S26" s="205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94"/>
      <c r="P27" s="195"/>
      <c r="Q27" s="203"/>
      <c r="R27" s="204"/>
      <c r="S27" s="205"/>
      <c r="T27" s="220" t="s">
        <v>19</v>
      </c>
      <c r="U27" s="221"/>
      <c r="V27" s="19"/>
      <c r="W27" s="97">
        <v>500000</v>
      </c>
    </row>
    <row r="28" spans="1:23" x14ac:dyDescent="0.3">
      <c r="I28" s="118">
        <f>C1</f>
        <v>0</v>
      </c>
      <c r="J28" s="162">
        <f>C9</f>
        <v>0</v>
      </c>
      <c r="L28"/>
      <c r="M28" s="210" t="s">
        <v>20</v>
      </c>
      <c r="N28" s="211"/>
      <c r="O28" s="194"/>
      <c r="P28" s="195"/>
      <c r="Q28" s="203"/>
      <c r="R28" s="204"/>
      <c r="S28" s="205"/>
      <c r="T28" s="218" t="s">
        <v>39</v>
      </c>
      <c r="U28" s="219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210" t="s">
        <v>21</v>
      </c>
      <c r="N29" s="211"/>
      <c r="O29" s="194"/>
      <c r="P29" s="195"/>
      <c r="Q29" s="203"/>
      <c r="R29" s="204"/>
      <c r="S29" s="205"/>
      <c r="T29" s="216" t="s">
        <v>40</v>
      </c>
      <c r="U29" s="217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210" t="s">
        <v>22</v>
      </c>
      <c r="N30" s="211"/>
      <c r="O30" s="194"/>
      <c r="P30" s="214"/>
      <c r="Q30" s="203"/>
      <c r="R30" s="204"/>
      <c r="S30" s="205"/>
      <c r="T30" s="201" t="s">
        <v>41</v>
      </c>
      <c r="U30" s="202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210" t="s">
        <v>23</v>
      </c>
      <c r="N31" s="211"/>
      <c r="O31" s="194"/>
      <c r="P31" s="195"/>
      <c r="Q31" s="203"/>
      <c r="R31" s="204"/>
      <c r="S31" s="205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210" t="s">
        <v>24</v>
      </c>
      <c r="N32" s="211"/>
      <c r="O32" s="194"/>
      <c r="P32" s="195"/>
      <c r="Q32" s="203"/>
      <c r="R32" s="204"/>
      <c r="S32" s="205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4"/>
      <c r="P33" s="195"/>
      <c r="Q33" s="203"/>
      <c r="R33" s="204"/>
      <c r="S33" s="205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6" t="s">
        <v>26</v>
      </c>
      <c r="N34" s="207"/>
      <c r="O34" s="208"/>
      <c r="P34" s="209"/>
      <c r="Q34" s="203">
        <v>500000</v>
      </c>
      <c r="R34" s="204"/>
      <c r="S34" s="205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89" t="s">
        <v>27</v>
      </c>
      <c r="N35" s="190"/>
      <c r="O35" s="191"/>
      <c r="P35" s="181" t="s">
        <v>28</v>
      </c>
      <c r="Q35" s="188"/>
      <c r="R35" s="181" t="s">
        <v>29</v>
      </c>
      <c r="S35" s="188"/>
      <c r="T35" s="181" t="s">
        <v>30</v>
      </c>
      <c r="U35" s="188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/>
      <c r="N37" s="38"/>
      <c r="O37" s="39"/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178" t="s">
        <v>42</v>
      </c>
      <c r="N38" s="179"/>
      <c r="O38" s="230"/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/>
      <c r="N39" s="38"/>
      <c r="O39" s="39"/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192"/>
      <c r="E43" s="192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192"/>
      <c r="E44" s="192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192"/>
      <c r="E45" s="192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192"/>
      <c r="E46" s="192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192"/>
      <c r="E47" s="192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92"/>
      <c r="E48" s="192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192"/>
      <c r="E49" s="192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198"/>
      <c r="E51" s="198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177"/>
      <c r="E52" s="177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176"/>
      <c r="E53" s="176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176"/>
      <c r="E54" s="176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176"/>
      <c r="E60" s="176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176"/>
      <c r="E64" s="176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176"/>
      <c r="E65" s="176"/>
      <c r="F65" s="20"/>
      <c r="G65" s="1"/>
      <c r="H65" s="50"/>
      <c r="I65" s="54"/>
      <c r="J65" s="57"/>
      <c r="L65"/>
      <c r="M65" s="178" t="s">
        <v>34</v>
      </c>
      <c r="N65" s="193"/>
      <c r="O65" s="46"/>
      <c r="P65" s="56" t="s">
        <v>11</v>
      </c>
      <c r="Q65" s="46"/>
      <c r="R65" s="56" t="s">
        <v>11</v>
      </c>
      <c r="S65" s="46"/>
      <c r="T65" s="56" t="s">
        <v>11</v>
      </c>
      <c r="U65" s="46"/>
    </row>
    <row r="66" spans="1:23" ht="15" thickBot="1" x14ac:dyDescent="0.35">
      <c r="A66" s="25"/>
      <c r="B66"/>
      <c r="C66" s="95"/>
      <c r="D66" s="176"/>
      <c r="E66" s="176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81" t="s">
        <v>47</v>
      </c>
      <c r="N67" s="182"/>
      <c r="O67" s="188"/>
      <c r="P67" s="199"/>
      <c r="Q67" s="200"/>
      <c r="R67" s="181" t="s">
        <v>37</v>
      </c>
      <c r="S67" s="182"/>
      <c r="T67" s="196" t="str">
        <f>Q25</f>
      </c>
      <c r="U67" s="197"/>
    </row>
    <row r="68" spans="1:23" ht="15.75" customHeight="1" thickBot="1" x14ac:dyDescent="0.35">
      <c r="A68" s="25"/>
      <c r="B68"/>
      <c r="C68" s="25"/>
      <c r="D68" s="176"/>
      <c r="E68" s="176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176"/>
      <c r="E69" s="176"/>
      <c r="F69" s="67"/>
      <c r="G69" s="1"/>
      <c r="H69" s="50"/>
      <c r="I69" s="54"/>
      <c r="J69"/>
      <c r="L69"/>
      <c r="M69" s="178" t="s">
        <v>35</v>
      </c>
      <c r="N69" s="179"/>
      <c r="O69" s="179"/>
      <c r="P69" s="179"/>
      <c r="Q69" s="179"/>
      <c r="R69" s="179"/>
      <c r="S69" s="179"/>
      <c r="T69" s="179"/>
      <c r="U69" s="180"/>
      <c r="V69" s="55"/>
    </row>
    <row r="70" spans="1:23" ht="15" thickBot="1" x14ac:dyDescent="0.35">
      <c r="A70" s="25"/>
      <c r="B70" s="20"/>
      <c r="C70" s="25"/>
      <c r="D70" s="176"/>
      <c r="E70" s="176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176"/>
      <c r="E71" s="176"/>
      <c r="F71" s="67"/>
      <c r="G71" s="1"/>
      <c r="H71" s="50"/>
      <c r="I71" s="54"/>
      <c r="J71" s="23"/>
      <c r="L71"/>
      <c r="M71" s="63"/>
      <c r="N71" s="64"/>
      <c r="O71" s="169" t="s">
        <v>43</v>
      </c>
      <c r="P71" s="66"/>
      <c r="Q71" s="65"/>
      <c r="R71" s="187" t="s">
        <v>6</v>
      </c>
      <c r="S71" s="187"/>
      <c r="T71" s="159"/>
      <c r="U71" s="160"/>
      <c r="V71" s="55"/>
    </row>
    <row r="72" spans="1:23" ht="15.6" x14ac:dyDescent="0.3">
      <c r="B72" s="55"/>
      <c r="C72" s="94"/>
      <c r="D72" s="176"/>
      <c r="E72" s="176"/>
      <c r="F72" s="67"/>
      <c r="I72" s="130"/>
      <c r="L72"/>
      <c r="M72" s="89"/>
      <c r="N72" s="90"/>
      <c r="O72" s="18"/>
      <c r="P72" s="91"/>
      <c r="Q72" s="60"/>
      <c r="R72" s="185"/>
      <c r="S72" s="185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/>
      <c r="M73" s="89"/>
      <c r="N73" s="90"/>
      <c r="O73" s="18" t="s">
        <v>43</v>
      </c>
      <c r="P73" s="91"/>
      <c r="Q73" s="60"/>
      <c r="R73" s="185" t="s">
        <v>10</v>
      </c>
      <c r="S73" s="185"/>
      <c r="T73" s="69"/>
      <c r="U73" s="100"/>
      <c r="V73" s="55"/>
    </row>
    <row r="74" spans="1:23" ht="15.6" x14ac:dyDescent="0.3">
      <c r="L74" s="49"/>
      <c r="M74" s="89"/>
      <c r="N74" s="90"/>
      <c r="O74" s="147"/>
      <c r="P74" s="91"/>
      <c r="Q74" s="60"/>
      <c r="R74" s="185"/>
      <c r="S74" s="185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186"/>
      <c r="S75" s="186"/>
      <c r="T75" s="183"/>
      <c r="U75" s="184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183"/>
      <c r="U76" s="184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</sheetData>
  <mergeCells count="70">
    <mergeCell ref="N23:S23"/>
    <mergeCell ref="N24:S24"/>
    <mergeCell ref="T25:U25"/>
    <mergeCell ref="M38:N38"/>
    <mergeCell ref="M25:N25"/>
    <mergeCell ref="O30:P30"/>
    <mergeCell ref="Q30:S30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O32:P32"/>
    <mergeCell ref="P35:Q35"/>
    <mergeCell ref="T67:U67"/>
    <mergeCell ref="D60:E60"/>
    <mergeCell ref="D66:E66"/>
    <mergeCell ref="D53:E53"/>
    <mergeCell ref="D51:E51"/>
    <mergeCell ref="D65:E65"/>
    <mergeCell ref="D54:E54"/>
    <mergeCell ref="D64:E64"/>
    <mergeCell ref="D48:E48"/>
    <mergeCell ref="D49:E49"/>
    <mergeCell ref="D47:E47"/>
    <mergeCell ref="D45:E45"/>
    <mergeCell ref="P67:Q67"/>
    <mergeCell ref="M35:O35"/>
    <mergeCell ref="D44:E44"/>
    <mergeCell ref="D46:E46"/>
    <mergeCell ref="M65:N65"/>
    <mergeCell ref="T76:U76"/>
    <mergeCell ref="R74:S74"/>
    <mergeCell ref="R75:S75"/>
    <mergeCell ref="R71:S71"/>
    <mergeCell ref="R73:S73"/>
    <mergeCell ref="R72:S72"/>
    <mergeCell ref="T75:U75"/>
    <mergeCell ref="D71:E71"/>
    <mergeCell ref="D72:E72"/>
    <mergeCell ref="D52:E52"/>
    <mergeCell ref="M69:U69"/>
    <mergeCell ref="R67:S67"/>
    <mergeCell ref="D68:E68"/>
    <mergeCell ref="D70:E70"/>
    <mergeCell ref="D69:E69"/>
    <mergeCell ref="M67:O67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zoomScale="85" zoomScaleNormal="85" workbookViewId="0">
      <pane xSplit="1" topLeftCell="B1" activePane="topRight" state="frozenSplit"/>
      <selection activeCell="A49" sqref="A49"/>
      <selection pane="topRight" activeCell="M39" sqref="M39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BOB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s">
        <v>101</v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 t="s">
        <v>102</v>
      </c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 t="s">
        <v>103</v>
      </c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222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5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72" x14ac:dyDescent="0.3">
      <c r="A7" s="127" t="s">
        <v>2</v>
      </c>
      <c r="B7" s="155">
        <v>500000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171">
        <v>90000</v>
      </c>
      <c r="C9" s="172"/>
      <c r="D9" s="173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171">
        <v>10000</v>
      </c>
      <c r="C10" s="172"/>
      <c r="D10" s="173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171"/>
      <c r="C11" s="172"/>
      <c r="D11" s="173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171"/>
      <c r="C12" s="172"/>
      <c r="D12" s="173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171"/>
      <c r="C13" s="172"/>
      <c r="D13" s="173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171"/>
      <c r="C14" s="172"/>
      <c r="D14" s="173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171"/>
      <c r="C15" s="172"/>
      <c r="D15" s="173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171"/>
      <c r="C16" s="172"/>
      <c r="D16" s="173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171"/>
      <c r="C17" s="172"/>
      <c r="D17" s="173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215" t="s">
        <v>48</v>
      </c>
      <c r="N22" s="215"/>
      <c r="O22" s="215"/>
      <c r="P22" s="215"/>
      <c r="Q22" s="215"/>
      <c r="R22" s="215"/>
      <c r="S22" s="215"/>
      <c r="T22" s="215"/>
      <c r="U22" s="215"/>
    </row>
    <row r="23" spans="1:23" ht="16.2" thickBot="1" x14ac:dyDescent="0.35">
      <c r="D23" s="6"/>
      <c r="J23"/>
      <c r="L23"/>
      <c r="M23" s="14" t="s">
        <v>13</v>
      </c>
      <c r="N23" s="222"/>
      <c r="O23" s="223"/>
      <c r="P23" s="223"/>
      <c r="Q23" s="223"/>
      <c r="R23" s="223"/>
      <c r="S23" s="224"/>
      <c r="T23" s="142" t="s">
        <v>38</v>
      </c>
      <c r="U23" s="115">
        <v>5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25" t="s">
        <v>49</v>
      </c>
      <c r="O24" s="226"/>
      <c r="P24" s="226"/>
      <c r="Q24" s="226"/>
      <c r="R24" s="226"/>
      <c r="S24" s="227"/>
      <c r="T24" s="117" t="s">
        <v>11</v>
      </c>
      <c r="U24" s="116">
        <v>500000</v>
      </c>
      <c r="W24" s="141">
        <v>5</v>
      </c>
    </row>
    <row r="25" spans="1:23" x14ac:dyDescent="0.3">
      <c r="B25" s="2"/>
      <c r="C25" s="111"/>
      <c r="D25" s="3" t="s">
        <v>15</v>
      </c>
      <c r="E25" s="4"/>
      <c r="J25"/>
      <c r="L25"/>
      <c r="M25" s="212" t="s">
        <v>16</v>
      </c>
      <c r="N25" s="213"/>
      <c r="O25" s="174"/>
      <c r="P25" s="175"/>
      <c r="Q25" s="171">
        <v>90000</v>
      </c>
      <c r="R25" s="172"/>
      <c r="S25" s="173"/>
      <c r="T25" s="228" t="s">
        <v>17</v>
      </c>
      <c r="U25" s="229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203">
        <v>10000</v>
      </c>
      <c r="R26" s="204"/>
      <c r="S26" s="205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94"/>
      <c r="P27" s="195"/>
      <c r="Q27" s="203"/>
      <c r="R27" s="204"/>
      <c r="S27" s="205"/>
      <c r="T27" s="220" t="s">
        <v>19</v>
      </c>
      <c r="U27" s="221"/>
      <c r="V27" s="19"/>
      <c r="W27" s="97">
        <v>500000</v>
      </c>
    </row>
    <row r="28" spans="1:23" x14ac:dyDescent="0.3">
      <c r="I28" s="118">
        <f>C1</f>
        <v>0</v>
      </c>
      <c r="J28" s="162">
        <f>C9</f>
        <v>0</v>
      </c>
      <c r="L28"/>
      <c r="M28" s="210" t="s">
        <v>20</v>
      </c>
      <c r="N28" s="211"/>
      <c r="O28" s="194"/>
      <c r="P28" s="195"/>
      <c r="Q28" s="203"/>
      <c r="R28" s="204"/>
      <c r="S28" s="205"/>
      <c r="T28" s="218" t="s">
        <v>39</v>
      </c>
      <c r="U28" s="219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210" t="s">
        <v>21</v>
      </c>
      <c r="N29" s="211"/>
      <c r="O29" s="194"/>
      <c r="P29" s="195"/>
      <c r="Q29" s="203"/>
      <c r="R29" s="204"/>
      <c r="S29" s="205"/>
      <c r="T29" s="216" t="s">
        <v>40</v>
      </c>
      <c r="U29" s="217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210" t="s">
        <v>22</v>
      </c>
      <c r="N30" s="211"/>
      <c r="O30" s="194"/>
      <c r="P30" s="214"/>
      <c r="Q30" s="203"/>
      <c r="R30" s="204"/>
      <c r="S30" s="205"/>
      <c r="T30" s="201" t="s">
        <v>41</v>
      </c>
      <c r="U30" s="202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210" t="s">
        <v>23</v>
      </c>
      <c r="N31" s="211"/>
      <c r="O31" s="194"/>
      <c r="P31" s="195"/>
      <c r="Q31" s="203"/>
      <c r="R31" s="204"/>
      <c r="S31" s="205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210" t="s">
        <v>24</v>
      </c>
      <c r="N32" s="211"/>
      <c r="O32" s="194"/>
      <c r="P32" s="195"/>
      <c r="Q32" s="203"/>
      <c r="R32" s="204"/>
      <c r="S32" s="205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94"/>
      <c r="P33" s="195"/>
      <c r="Q33" s="203"/>
      <c r="R33" s="204"/>
      <c r="S33" s="205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6" t="s">
        <v>26</v>
      </c>
      <c r="N34" s="207"/>
      <c r="O34" s="208"/>
      <c r="P34" s="209"/>
      <c r="Q34" s="203">
        <v>500000</v>
      </c>
      <c r="R34" s="204"/>
      <c r="S34" s="205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89" t="s">
        <v>27</v>
      </c>
      <c r="N35" s="190"/>
      <c r="O35" s="191"/>
      <c r="P35" s="181" t="s">
        <v>28</v>
      </c>
      <c r="Q35" s="188"/>
      <c r="R35" s="181" t="s">
        <v>29</v>
      </c>
      <c r="S35" s="188"/>
      <c r="T35" s="181" t="s">
        <v>30</v>
      </c>
      <c r="U35" s="188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/>
      <c r="N37" s="38"/>
      <c r="O37" s="39"/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178" t="s">
        <v>42</v>
      </c>
      <c r="N38" s="179"/>
      <c r="O38" s="230"/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/>
      <c r="N39" s="38"/>
      <c r="O39" s="39"/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192"/>
      <c r="E43" s="192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192"/>
      <c r="E44" s="192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192"/>
      <c r="E45" s="192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192"/>
      <c r="E46" s="192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192"/>
      <c r="E47" s="192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92"/>
      <c r="E48" s="192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192"/>
      <c r="E49" s="192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198"/>
      <c r="E51" s="198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177"/>
      <c r="E52" s="177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176"/>
      <c r="E53" s="176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176"/>
      <c r="E54" s="176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176"/>
      <c r="E60" s="176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176"/>
      <c r="E64" s="176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176"/>
      <c r="E65" s="176"/>
      <c r="F65" s="20"/>
      <c r="G65" s="1"/>
      <c r="H65" s="50"/>
      <c r="I65" s="54"/>
      <c r="J65" s="57"/>
      <c r="L65"/>
      <c r="M65" s="178" t="s">
        <v>34</v>
      </c>
      <c r="N65" s="193"/>
      <c r="O65" s="46"/>
      <c r="P65" s="56" t="s">
        <v>11</v>
      </c>
      <c r="Q65" s="46"/>
      <c r="R65" s="56" t="s">
        <v>11</v>
      </c>
      <c r="S65" s="46"/>
      <c r="T65" s="56" t="s">
        <v>11</v>
      </c>
      <c r="U65" s="46"/>
    </row>
    <row r="66" spans="1:23" ht="15" thickBot="1" x14ac:dyDescent="0.35">
      <c r="A66" s="25"/>
      <c r="B66"/>
      <c r="C66" s="95"/>
      <c r="D66" s="176"/>
      <c r="E66" s="176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81" t="s">
        <v>47</v>
      </c>
      <c r="N67" s="182"/>
      <c r="O67" s="188"/>
      <c r="P67" s="199"/>
      <c r="Q67" s="200"/>
      <c r="R67" s="181" t="s">
        <v>37</v>
      </c>
      <c r="S67" s="182"/>
      <c r="T67" s="196" t="str">
        <f>Q25</f>
      </c>
      <c r="U67" s="197"/>
    </row>
    <row r="68" spans="1:23" ht="15.75" customHeight="1" thickBot="1" x14ac:dyDescent="0.35">
      <c r="A68" s="25"/>
      <c r="B68"/>
      <c r="C68" s="25"/>
      <c r="D68" s="176"/>
      <c r="E68" s="176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176"/>
      <c r="E69" s="176"/>
      <c r="F69" s="67"/>
      <c r="G69" s="1"/>
      <c r="H69" s="50"/>
      <c r="I69" s="54"/>
      <c r="J69"/>
      <c r="L69"/>
      <c r="M69" s="178" t="s">
        <v>35</v>
      </c>
      <c r="N69" s="179"/>
      <c r="O69" s="179"/>
      <c r="P69" s="179"/>
      <c r="Q69" s="179"/>
      <c r="R69" s="179"/>
      <c r="S69" s="179"/>
      <c r="T69" s="179"/>
      <c r="U69" s="180"/>
      <c r="V69" s="55"/>
    </row>
    <row r="70" spans="1:23" ht="15" thickBot="1" x14ac:dyDescent="0.35">
      <c r="A70" s="25"/>
      <c r="B70" s="20"/>
      <c r="C70" s="25"/>
      <c r="D70" s="176"/>
      <c r="E70" s="176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176"/>
      <c r="E71" s="176"/>
      <c r="F71" s="67"/>
      <c r="G71" s="1"/>
      <c r="H71" s="50"/>
      <c r="I71" s="54"/>
      <c r="J71" s="23"/>
      <c r="L71"/>
      <c r="M71" s="63"/>
      <c r="N71" s="64"/>
      <c r="O71" s="169" t="s">
        <v>43</v>
      </c>
      <c r="P71" s="66"/>
      <c r="Q71" s="65"/>
      <c r="R71" s="187" t="s">
        <v>6</v>
      </c>
      <c r="S71" s="187"/>
      <c r="T71" s="159"/>
      <c r="U71" s="160"/>
      <c r="V71" s="55"/>
    </row>
    <row r="72" spans="1:23" ht="15.6" x14ac:dyDescent="0.3">
      <c r="B72" s="55"/>
      <c r="C72" s="94"/>
      <c r="D72" s="176"/>
      <c r="E72" s="176"/>
      <c r="F72" s="67"/>
      <c r="I72" s="130"/>
      <c r="L72"/>
      <c r="M72" s="89"/>
      <c r="N72" s="90"/>
      <c r="O72" s="18"/>
      <c r="P72" s="91"/>
      <c r="Q72" s="60"/>
      <c r="R72" s="185"/>
      <c r="S72" s="185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/>
      <c r="M73" s="89"/>
      <c r="N73" s="90"/>
      <c r="O73" s="18" t="s">
        <v>43</v>
      </c>
      <c r="P73" s="91"/>
      <c r="Q73" s="60"/>
      <c r="R73" s="185" t="s">
        <v>10</v>
      </c>
      <c r="S73" s="185"/>
      <c r="T73" s="69"/>
      <c r="U73" s="100"/>
      <c r="V73" s="55"/>
    </row>
    <row r="74" spans="1:23" ht="15.6" x14ac:dyDescent="0.3">
      <c r="L74" s="49"/>
      <c r="M74" s="89"/>
      <c r="N74" s="90"/>
      <c r="O74" s="147"/>
      <c r="P74" s="91"/>
      <c r="Q74" s="60"/>
      <c r="R74" s="185"/>
      <c r="S74" s="185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186"/>
      <c r="S75" s="186"/>
      <c r="T75" s="183"/>
      <c r="U75" s="184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183"/>
      <c r="U76" s="184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</sheetData>
  <mergeCells count="70">
    <mergeCell ref="N23:S23"/>
    <mergeCell ref="N24:S24"/>
    <mergeCell ref="T25:U25"/>
    <mergeCell ref="M38:N38"/>
    <mergeCell ref="M25:N25"/>
    <mergeCell ref="O30:P30"/>
    <mergeCell ref="Q30:S30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O32:P32"/>
    <mergeCell ref="P35:Q35"/>
    <mergeCell ref="T67:U67"/>
    <mergeCell ref="D60:E60"/>
    <mergeCell ref="D66:E66"/>
    <mergeCell ref="D53:E53"/>
    <mergeCell ref="D51:E51"/>
    <mergeCell ref="D65:E65"/>
    <mergeCell ref="D54:E54"/>
    <mergeCell ref="D64:E64"/>
    <mergeCell ref="D48:E48"/>
    <mergeCell ref="D49:E49"/>
    <mergeCell ref="D47:E47"/>
    <mergeCell ref="D45:E45"/>
    <mergeCell ref="P67:Q67"/>
    <mergeCell ref="M35:O35"/>
    <mergeCell ref="D44:E44"/>
    <mergeCell ref="D46:E46"/>
    <mergeCell ref="M65:N65"/>
    <mergeCell ref="T76:U76"/>
    <mergeCell ref="R74:S74"/>
    <mergeCell ref="R75:S75"/>
    <mergeCell ref="R71:S71"/>
    <mergeCell ref="R73:S73"/>
    <mergeCell ref="R72:S72"/>
    <mergeCell ref="T75:U75"/>
    <mergeCell ref="D71:E71"/>
    <mergeCell ref="D72:E72"/>
    <mergeCell ref="D52:E52"/>
    <mergeCell ref="M69:U69"/>
    <mergeCell ref="R67:S67"/>
    <mergeCell ref="D68:E68"/>
    <mergeCell ref="D70:E70"/>
    <mergeCell ref="D69:E69"/>
    <mergeCell ref="M67:O67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2026-07-01T16:24:14Z</dcterms:modified>
</cp:coreProperties>
</file>