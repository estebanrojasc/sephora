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703A2F14-26FE-40C5-A4C3-CF31C833DAE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umen" sheetId="1" r:id="rId1"/>
    <sheet name="RUTA 111" sheetId="2" r:id="rId6"/>
    <sheet name="RUTA 222" sheetId="3" r:id="rId7"/>
  </sheets>
  <calcPr calcMode="auto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<sst xmlns="http://schemas.openxmlformats.org/spreadsheetml/2006/main" count="131" uniqueCount="100">
  <si>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</si>
  <si>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</si>
  <si>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</si>
  <si>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</si>
  <si>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</si>
  <si>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</si>
  <si>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</si>
  <si>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</si>
  <si>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</si>
  <si>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</si>
  <si>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</si>
  <si>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</si>
  <si>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</si>
  <si>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</si>
  <si>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</si>
  <si>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</si>
  <si>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</si>
  <si>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</si>
  <si>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</si>
  <si>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</si>
  <si>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</si>
  <si>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</si>
  <si>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</si>
  <si>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</si>
  <si>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</si>
  <si>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</si>
  <si>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</si>
  <si>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</si>
  <si>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</si>
  <si>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</si>
  <si>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</si>
  <si>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</si>
  <si>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</si>
  <si>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</si>
  <si>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</si>
  <si>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</si>
  <si>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</si>
  <si>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</si>
  <si>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</si>
  <si>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</si>
  <si>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</si>
  <si>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</si>
  <si>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</si>
  <si>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</si>
  <si>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</si>
  <si>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</si>
  <si>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</si>
  <si>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</si>
  <si>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</si>
  <si>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</si>
  <si>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</si>
  <si>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</si>
  <si>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</si>
  <si>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</si>
  <si>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</si>
  <si>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</si>
  <si>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</si>
  <si>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</si>
  <si>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</si>
  <si>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</si>
  <si>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</si>
  <si>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</si>
  <si>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</si>
  <si>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</si>
  <si>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</si>
  <si>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</si>
  <si>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</si>
  <si>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</si>
  <si>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</si>
  <si>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</si>
  <si>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</si>
  <si>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</si>
  <si>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</si>
  <si>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</si>
  <si>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</si>
  <si>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{{extraction.auxiliar.valor}}</t>
  </si>
  <si>
    <t>{{extraction.conductor.valor}}</t>
  </si>
  <si>
    <t>{{extraction.cant_fact.valor}}</t>
  </si>
  <si>
    <t>{{extraction.n_recorrido.valor}}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</si>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</sst>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30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8" fillId="0" borderId="20" xfId="0" applyFont="1" applyBorder="1" applyAlignment="1">
      <alignment horizontal="center"/>
    </xf>
    <xf numFmtId="0" fontId="8" fillId="0" borderId="24" xfId="0" applyFont="1" applyBorder="1" applyAlignment="1">
      <alignment horizontal="center" vertical="center"/>
    </xf>
    <xf numFmtId="4" fontId="8" fillId="0" borderId="0" xfId="0" applyNumberFormat="1" applyFont="1"/>
    <xf numFmtId="0" fontId="8" fillId="0" borderId="24" xfId="0" applyFont="1" applyBorder="1" applyAlignment="1">
      <alignment horizontal="center"/>
    </xf>
    <xf numFmtId="0" fontId="13" fillId="0" borderId="0" xfId="0" applyFont="1" applyAlignment="1">
      <alignment horizontal="right"/>
    </xf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32" xfId="0" applyFont="1" applyBorder="1" applyAlignment="1">
      <alignment horizontal="center"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3" fontId="0" fillId="0" borderId="1" xfId="0" applyNumberFormat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3" fontId="0" fillId="0" borderId="3" xfId="0" applyNumberFormat="1" applyBorder="1" applyAlignment="1">
      <alignment horizontal="righ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0" fontId="0" fillId="0" borderId="3" xfId="0" applyBorder="1" applyAlignment="1">
      <alignment horizontal="right"/>
    </xf>
    <xf numFmtId="165" fontId="0" fillId="0" borderId="3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3" fontId="0" fillId="0" borderId="0" xfId="0" applyNumberFormat="1" applyAlignment="1">
      <alignment horizontal="right"/>
    </xf>
    <xf numFmtId="3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2" xfId="0" applyNumberFormat="1" applyBorder="1"/>
    <xf numFmtId="165" fontId="0" fillId="0" borderId="1" xfId="0" applyNumberFormat="1" applyBorder="1" applyAlignment="1">
      <alignment horizontal="center"/>
    </xf>
    <xf numFmtId="0" fontId="13" fillId="0" borderId="0" xfId="0" applyFont="1"/>
    <xf numFmtId="42" fontId="13" fillId="0" borderId="0" xfId="0" applyNumberFormat="1" applyFont="1"/>
    <xf numFmtId="42" fontId="19" fillId="0" borderId="0" xfId="0" applyNumberFormat="1" applyFont="1" applyAlignment="1">
      <alignment horizontal="center" vertical="center"/>
    </xf>
    <xf numFmtId="164" fontId="13" fillId="0" borderId="0" xfId="0" applyNumberFormat="1" applyFont="1"/>
    <xf numFmtId="3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0" fillId="0" borderId="3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71" fontId="0" fillId="0" borderId="1" xfId="1" applyNumberFormat="1" applyFont="1" applyFill="1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42" fontId="0" fillId="3" borderId="0" xfId="0" applyNumberFormat="1" applyFill="1"/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42" fontId="0" fillId="0" borderId="23" xfId="3" applyFont="1" applyFill="1" applyBorder="1" applyAlignment="1">
      <alignment horizontal="righ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4" borderId="0" xfId="2" applyFont="1" applyFill="1" applyBorder="1" applyAlignment="1">
      <alignment horizontal="center" vertical="center"/>
    </xf>
    <xf numFmtId="169" fontId="4" fillId="5" borderId="21" xfId="0" applyNumberFormat="1" applyFont="1" applyFill="1" applyBorder="1" applyAlignment="1">
      <alignment vertical="center"/>
    </xf>
    <xf numFmtId="167" fontId="4" fillId="5" borderId="0" xfId="1" applyNumberFormat="1" applyFont="1" applyFill="1" applyBorder="1" applyAlignment="1">
      <alignment vertical="center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left" vertical="top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167" fontId="18" fillId="5" borderId="0" xfId="1" applyNumberFormat="1" applyFont="1" applyFill="1" applyBorder="1" applyAlignment="1">
      <alignment horizontal="center" vertical="center"/>
    </xf>
    <xf numFmtId="167" fontId="18" fillId="5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28" xfId="0" applyNumberFormat="1" applyFont="1" applyBorder="1" applyAlignment="1">
      <alignment horizontal="center" vertical="center"/>
    </xf>
    <xf numFmtId="168" fontId="6" fillId="0" borderId="33" xfId="0" applyNumberFormat="1" applyFont="1" applyBorder="1" applyAlignment="1">
      <alignment horizontal="center"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6" fillId="0" borderId="0" xfId="2" applyFont="1" applyBorder="1" applyAlignment="1"/>
    <xf numFmtId="0" fontId="6" fillId="0" borderId="0" xfId="0" applyFont="1" applyAlignment="1">
      <alignment horizont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168" fontId="6" fillId="0" borderId="29" xfId="0" applyNumberFormat="1" applyFont="1" applyBorder="1" applyAlignment="1">
      <alignment horizontal="center" vertical="center"/>
    </xf>
    <xf numFmtId="168" fontId="6" fillId="0" borderId="30" xfId="0" applyNumberFormat="1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3" fontId="6" fillId="0" borderId="15" xfId="0" applyNumberFormat="1" applyFont="1" applyBorder="1" applyAlignment="1">
      <alignment horizontal="center"/>
    </xf>
    <xf numFmtId="3" fontId="6" fillId="0" borderId="4" xfId="0" applyNumberFormat="1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0" fontId="6" fillId="0" borderId="6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3" fontId="6" fillId="0" borderId="3" xfId="0" applyNumberFormat="1" applyFont="1" applyBorder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42" fontId="6" fillId="0" borderId="2" xfId="2" applyFont="1" applyBorder="1" applyAlignment="1">
      <alignment vertical="center"/>
    </xf>
    <xf numFmtId="42" fontId="6" fillId="0" borderId="4" xfId="2" applyFont="1" applyBorder="1" applyAlignment="1">
      <alignment vertical="center"/>
    </xf>
    <xf numFmtId="42" fontId="6" fillId="0" borderId="16" xfId="2" applyFont="1" applyBorder="1" applyAlignment="1">
      <alignment vertic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371331</xdr:colOff>
      <xdr:row>33</xdr:row>
      <xdr:rowOff>133262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8"/>
  <sheetViews>
    <sheetView tabSelected="1" topLeftCell="A53" zoomScale="85" zoomScaleNormal="85" workbookViewId="0">
      <pane xSplit="1" topLeftCell="M1" activePane="topRight" state="frozenSplit"/>
      <selection activeCell="A49" sqref="A49"/>
      <selection pane="topRight" activeCell="W28" sqref="W28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inlineStr">
        <is>
          <t xml:space="preserve">VARIOS</t>
        </is>
      </c>
      <c r="C1" s="143"/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 t="inlineStr">
        <is>
          <t xml:space="preserve">VARIOS</t>
        </is>
      </c>
      <c r="C2" s="143"/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inlineStr">
        <is>
          <t xml:space="preserve">VARIOS</t>
        </is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>
        <v>20</v>
      </c>
      <c r="C6"/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43.2" x14ac:dyDescent="0.3">
      <c r="A7" s="127" t="s">
        <v>2</v>
      </c>
      <c r="B7" s="155">
        <v>2000000</v>
      </c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/>
      <c r="C8" s="123"/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227">
        <v>900000</v>
      </c>
      <c r="C9" s="228"/>
      <c r="D9" s="229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227">
        <v>100000</v>
      </c>
      <c r="C10" s="228"/>
      <c r="D10" s="229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227">
        <v>600000</v>
      </c>
      <c r="C11" s="228"/>
      <c r="D11" s="229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227"/>
      <c r="C12" s="228"/>
      <c r="D12" s="229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227"/>
      <c r="C13" s="228"/>
      <c r="D13" s="229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227"/>
      <c r="C14" s="228"/>
      <c r="D14" s="229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227"/>
      <c r="C15" s="228"/>
      <c r="D15" s="229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227"/>
      <c r="C16" s="228"/>
      <c r="D16" s="229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227"/>
      <c r="C17" s="228"/>
      <c r="D17" s="229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214" t="s">
        <v>48</v>
      </c>
      <c r="N22" s="214"/>
      <c r="O22" s="214"/>
      <c r="P22" s="214"/>
      <c r="Q22" s="214"/>
      <c r="R22" s="214"/>
      <c r="S22" s="214"/>
      <c r="T22" s="214"/>
      <c r="U22" s="214"/>
    </row>
    <row r="23" spans="1:23" ht="16.2" thickBot="1" x14ac:dyDescent="0.35">
      <c r="D23" s="6"/>
      <c r="J23"/>
      <c r="L23"/>
      <c r="M23" s="14" t="s">
        <v>13</v>
      </c>
      <c r="N23" s="221" t="inlineStr">
        <is>
          <t xml:space="preserve">24/06/2026</t>
        </is>
      </c>
      <c r="O23" s="222"/>
      <c r="P23" s="222"/>
      <c r="Q23" s="222"/>
      <c r="R23" s="222"/>
      <c r="S23" s="223"/>
      <c r="T23" s="142" t="s">
        <v>38</v>
      </c>
      <c r="U23" s="115">
        <v>20</v>
      </c>
      <c r="W23" s="96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224" t="s">
        <v>49</v>
      </c>
      <c r="O24" s="225"/>
      <c r="P24" s="225"/>
      <c r="Q24" s="225"/>
      <c r="R24" s="225"/>
      <c r="S24" s="226"/>
      <c r="T24" s="117" t="s">
        <v>11</v>
      </c>
      <c r="U24" s="116">
        <v>2000000</v>
      </c>
      <c r="W24" s="141">
        <v>20</v>
      </c>
    </row>
    <row r="25" spans="1:23" x14ac:dyDescent="0.3">
      <c r="B25" s="2"/>
      <c r="C25" s="111"/>
      <c r="D25" s="3" t="s">
        <v>15</v>
      </c>
      <c r="E25" s="4"/>
      <c r="J25"/>
      <c r="L25"/>
      <c r="M25" s="209" t="s">
        <v>16</v>
      </c>
      <c r="N25" s="210"/>
      <c r="O25" s="211"/>
      <c r="P25" s="212"/>
      <c r="Q25" s="174">
        <v>900000</v>
      </c>
      <c r="R25" s="175"/>
      <c r="S25" s="176"/>
      <c r="T25" s="207" t="s">
        <v>17</v>
      </c>
      <c r="U25" s="208"/>
      <c r="V25" s="13"/>
      <c r="W25" s="86" t="s">
        <v>45</v>
      </c>
    </row>
    <row r="26" spans="1:23" x14ac:dyDescent="0.3">
      <c r="E26" s="4"/>
      <c r="J26"/>
      <c r="L26"/>
      <c r="M26" s="83" t="s">
        <v>53</v>
      </c>
      <c r="N26" s="84"/>
      <c r="O26" s="151"/>
      <c r="P26" s="152"/>
      <c r="Q26" s="174">
        <v>100000</v>
      </c>
      <c r="R26" s="175"/>
      <c r="S26" s="176"/>
      <c r="T26" s="149"/>
      <c r="U26" s="150"/>
      <c r="V26" s="13"/>
      <c r="W26" s="86"/>
    </row>
    <row r="27" spans="1:23" x14ac:dyDescent="0.3">
      <c r="I27" s="118" t="str">
        <f>B1</f>
      </c>
      <c r="J27" s="162" t="str">
        <f>B9</f>
      </c>
      <c r="L27"/>
      <c r="M27" s="83" t="s">
        <v>18</v>
      </c>
      <c r="N27" s="84"/>
      <c r="O27" s="199"/>
      <c r="P27" s="200"/>
      <c r="Q27" s="174">
        <v>600000</v>
      </c>
      <c r="R27" s="175"/>
      <c r="S27" s="176"/>
      <c r="T27" s="219" t="s">
        <v>19</v>
      </c>
      <c r="U27" s="220"/>
      <c r="V27" s="19"/>
      <c r="W27" s="97">
        <v>2000000</v>
      </c>
    </row>
    <row r="28" spans="1:23" x14ac:dyDescent="0.3">
      <c r="I28" s="118">
        <f>C1</f>
        <v>0</v>
      </c>
      <c r="J28" s="162">
        <f>C9</f>
        <v>0</v>
      </c>
      <c r="L28"/>
      <c r="M28" s="194" t="s">
        <v>20</v>
      </c>
      <c r="N28" s="195"/>
      <c r="O28" s="199"/>
      <c r="P28" s="200"/>
      <c r="Q28" s="174"/>
      <c r="R28" s="175"/>
      <c r="S28" s="176"/>
      <c r="T28" s="217" t="s">
        <v>39</v>
      </c>
      <c r="U28" s="218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194" t="s">
        <v>21</v>
      </c>
      <c r="N29" s="195"/>
      <c r="O29" s="199"/>
      <c r="P29" s="200"/>
      <c r="Q29" s="174"/>
      <c r="R29" s="175"/>
      <c r="S29" s="176"/>
      <c r="T29" s="215" t="s">
        <v>40</v>
      </c>
      <c r="U29" s="216"/>
      <c r="W29" s="98" t="str">
        <f>U23</f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194" t="s">
        <v>22</v>
      </c>
      <c r="N30" s="195"/>
      <c r="O30" s="199"/>
      <c r="P30" s="213"/>
      <c r="Q30" s="174"/>
      <c r="R30" s="175"/>
      <c r="S30" s="176"/>
      <c r="T30" s="201" t="s">
        <v>41</v>
      </c>
      <c r="U30" s="202"/>
      <c r="V30" s="24"/>
      <c r="W30" s="21" t="str">
        <f>Q34</f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194" t="s">
        <v>23</v>
      </c>
      <c r="N31" s="195"/>
      <c r="O31" s="199"/>
      <c r="P31" s="200"/>
      <c r="Q31" s="174"/>
      <c r="R31" s="175"/>
      <c r="S31" s="176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194" t="s">
        <v>24</v>
      </c>
      <c r="N32" s="195"/>
      <c r="O32" s="199"/>
      <c r="P32" s="200"/>
      <c r="Q32" s="174"/>
      <c r="R32" s="175"/>
      <c r="S32" s="176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199"/>
      <c r="P33" s="200"/>
      <c r="Q33" s="174"/>
      <c r="R33" s="175"/>
      <c r="S33" s="176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203" t="s">
        <v>26</v>
      </c>
      <c r="N34" s="204"/>
      <c r="O34" s="205"/>
      <c r="P34" s="206"/>
      <c r="Q34" s="174">
        <v>2000000</v>
      </c>
      <c r="R34" s="175"/>
      <c r="S34" s="176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196" t="s">
        <v>27</v>
      </c>
      <c r="N35" s="197"/>
      <c r="O35" s="198"/>
      <c r="P35" s="189" t="s">
        <v>28</v>
      </c>
      <c r="Q35" s="193"/>
      <c r="R35" s="189" t="s">
        <v>29</v>
      </c>
      <c r="S35" s="193"/>
      <c r="T35" s="189" t="s">
        <v>30</v>
      </c>
      <c r="U35" s="193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SUM(O44)</f>
        <v>0</v>
      </c>
      <c r="L37"/>
      <c r="M37" s="37" t="inlineStr">
        <is>
          <t xml:space="preserve">01/01/2026</t>
        </is>
      </c>
      <c r="N37" s="38" t="inlineStr">
        <is>
          <t xml:space="preserve">SANTANDER</t>
        </is>
      </c>
      <c r="O37" s="39">
        <v>100000</v>
      </c>
      <c r="P37" s="40"/>
      <c r="Q37" s="81"/>
      <c r="R37" s="41"/>
      <c r="S37" s="82"/>
      <c r="T37" s="42"/>
      <c r="U37" s="78"/>
      <c r="V37" s="1"/>
      <c r="W37" s="18" t="s">
        <v>14</v>
      </c>
    </row>
    <row r="38" spans="1:23" x14ac:dyDescent="0.3">
      <c r="M38" s="37" t="inlineStr">
        <is>
          <t xml:space="preserve">02/01/2026</t>
        </is>
      </c>
      <c r="N38" s="38" t="inlineStr">
        <is>
          <t xml:space="preserve">BCI</t>
        </is>
      </c>
      <c r="O38" s="39">
        <v>200000</v>
      </c>
      <c r="P38" s="42"/>
      <c r="Q38" s="72"/>
      <c r="R38" s="44"/>
      <c r="S38" s="77"/>
      <c r="T38" s="42"/>
      <c r="U38" s="72"/>
    </row>
    <row r="39" spans="1:23" x14ac:dyDescent="0.3">
      <c r="M39" s="37" t="inlineStr">
        <is>
          <t xml:space="preserve">01/01/2026</t>
        </is>
      </c>
      <c r="N39" s="38" t="inlineStr">
        <is>
          <t xml:space="preserve">SANTANDER</t>
        </is>
      </c>
      <c r="O39" s="39">
        <v>100000</v>
      </c>
      <c r="P39" s="42"/>
      <c r="Q39" s="72"/>
      <c r="R39" s="44"/>
      <c r="S39" s="77"/>
      <c r="T39" s="42"/>
      <c r="U39" s="72"/>
    </row>
    <row r="40" spans="1:23" x14ac:dyDescent="0.3">
      <c r="M40" s="37" t="inlineStr">
        <is>
          <t xml:space="preserve">02/01/2026</t>
        </is>
      </c>
      <c r="N40" s="38" t="inlineStr">
        <is>
          <t xml:space="preserve">BCI</t>
        </is>
      </c>
      <c r="O40" s="39">
        <v>200000</v>
      </c>
      <c r="P40" s="42"/>
      <c r="Q40" s="72"/>
      <c r="R40" s="44"/>
      <c r="S40" s="77"/>
      <c r="T40" s="42"/>
      <c r="U40" s="72"/>
    </row>
    <row r="41" spans="1:23" ht="15" thickBot="1" x14ac:dyDescent="0.35">
      <c r="B41" s="20"/>
      <c r="C41" s="32"/>
      <c r="I41" s="134"/>
      <c r="J41"/>
      <c r="L41" s="114">
        <v>2</v>
      </c>
      <c r="M41" s="179" t="s">
        <v>42</v>
      </c>
      <c r="N41" s="180"/>
      <c r="O41" s="46">
        <v>600000</v>
      </c>
      <c r="P41" s="42"/>
      <c r="Q41" s="79"/>
      <c r="R41" s="44"/>
      <c r="S41" s="77"/>
      <c r="T41" s="42"/>
      <c r="U41" s="80"/>
      <c r="V41" s="1"/>
      <c r="W41" s="1"/>
    </row>
    <row r="42" spans="1:23" x14ac:dyDescent="0.3">
      <c r="B42" s="20"/>
      <c r="C42" s="32"/>
      <c r="I42" s="134"/>
      <c r="J42"/>
      <c r="K42" s="24" t="e">
        <f>Q27+Q28</f>
        <v>#VALUE!</v>
      </c>
      <c r="L42" s="114">
        <v>3</v>
      </c>
      <c r="M42" s="37"/>
      <c r="N42" s="38"/>
      <c r="O42" s="39"/>
      <c r="P42" s="42"/>
      <c r="Q42" s="72"/>
      <c r="R42" s="44"/>
      <c r="S42" s="77"/>
      <c r="T42" s="42"/>
      <c r="U42" s="72"/>
      <c r="V42" s="1"/>
      <c r="W42" s="1"/>
    </row>
    <row r="43" spans="1:23" ht="16.5" customHeight="1" x14ac:dyDescent="0.4">
      <c r="B43" s="20"/>
      <c r="C43" s="32"/>
      <c r="D43" s="48"/>
      <c r="E43" s="47"/>
      <c r="I43" s="134"/>
      <c r="J43"/>
      <c r="K43" s="24"/>
      <c r="L43" s="114">
        <v>4</v>
      </c>
      <c r="M43" s="37"/>
      <c r="N43" s="38"/>
      <c r="O43" s="39"/>
      <c r="P43" s="42"/>
      <c r="Q43" s="70"/>
      <c r="R43" s="44"/>
      <c r="S43" s="78"/>
      <c r="T43" s="42"/>
      <c r="U43" s="72"/>
      <c r="V43" s="1"/>
      <c r="W43" s="1"/>
    </row>
    <row r="44" spans="1:23" ht="15" customHeight="1" x14ac:dyDescent="0.3">
      <c r="B44" s="20"/>
      <c r="C44" s="32"/>
      <c r="D44" s="23"/>
      <c r="E44" s="23"/>
      <c r="I44" s="133"/>
      <c r="J44"/>
      <c r="K44" s="24"/>
      <c r="L44" s="114">
        <v>5</v>
      </c>
      <c r="M44" s="37"/>
      <c r="N44" s="38"/>
      <c r="O44" s="39"/>
      <c r="P44" s="42"/>
      <c r="Q44" s="70"/>
      <c r="R44" s="44"/>
      <c r="S44" s="78"/>
      <c r="T44" s="42"/>
      <c r="U44" s="72"/>
      <c r="V44" s="1"/>
      <c r="W44" s="1"/>
    </row>
    <row r="45" spans="1:23" ht="15" customHeight="1" x14ac:dyDescent="0.6">
      <c r="B45" s="20"/>
      <c r="C45" s="25"/>
      <c r="D45" s="23"/>
      <c r="E45" s="23"/>
      <c r="F45" s="51"/>
      <c r="I45" s="135"/>
      <c r="J45" s="57"/>
      <c r="L45" s="114">
        <v>6</v>
      </c>
      <c r="M45" s="37"/>
      <c r="N45" s="38"/>
      <c r="O45" s="39"/>
      <c r="P45" s="42"/>
      <c r="Q45" s="70"/>
      <c r="R45" s="44"/>
      <c r="S45" s="77"/>
      <c r="T45" s="42"/>
      <c r="U45" s="72"/>
      <c r="V45" s="1"/>
      <c r="W45" s="1"/>
    </row>
    <row r="46" spans="1:23" ht="15.75" customHeight="1" x14ac:dyDescent="0.6">
      <c r="A46" s="112"/>
      <c r="B46" s="20"/>
      <c r="C46" s="32"/>
      <c r="D46" s="183"/>
      <c r="E46" s="183"/>
      <c r="F46" s="51"/>
      <c r="G46" s="8"/>
      <c r="I46" s="136"/>
      <c r="J46" s="57"/>
      <c r="K46" s="24" t="e">
        <f>O41+O68</f>
        <v>#VALUE!</v>
      </c>
      <c r="L46" s="114">
        <v>7</v>
      </c>
      <c r="M46" s="37"/>
      <c r="N46" s="38"/>
      <c r="O46" s="39"/>
      <c r="P46" s="42"/>
      <c r="Q46" s="70"/>
      <c r="R46" s="42"/>
      <c r="S46" s="71"/>
      <c r="T46" s="42"/>
      <c r="U46" s="72"/>
    </row>
    <row r="47" spans="1:23" ht="15" customHeight="1" x14ac:dyDescent="0.3">
      <c r="A47" s="25"/>
      <c r="B47" s="20"/>
      <c r="C47" s="25"/>
      <c r="D47" s="183"/>
      <c r="E47" s="183"/>
      <c r="F47" s="52"/>
      <c r="H47" s="68"/>
      <c r="I47" s="13"/>
      <c r="J47" s="57"/>
      <c r="K47" s="24"/>
      <c r="L47" s="114">
        <v>8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5"/>
      <c r="B48" s="25"/>
      <c r="C48" s="43"/>
      <c r="D48" s="183"/>
      <c r="E48" s="183"/>
      <c r="F48" s="23"/>
      <c r="H48" s="68"/>
      <c r="I48" s="13"/>
      <c r="J48" s="57"/>
      <c r="L48" s="114">
        <v>9</v>
      </c>
      <c r="M48" s="37"/>
      <c r="N48" s="38"/>
      <c r="O48" s="39"/>
      <c r="P48" s="42"/>
      <c r="Q48" s="70"/>
      <c r="R48" s="42"/>
      <c r="S48" s="76"/>
      <c r="T48" s="42"/>
      <c r="U48" s="72"/>
    </row>
    <row r="49" spans="1:23" x14ac:dyDescent="0.3">
      <c r="A49" s="20"/>
      <c r="B49" s="20"/>
      <c r="C49" s="43"/>
      <c r="D49" s="183"/>
      <c r="E49" s="183"/>
      <c r="F49" s="53"/>
      <c r="H49" s="68"/>
      <c r="I49" s="13"/>
      <c r="J49" s="57"/>
      <c r="L49" s="114">
        <v>10</v>
      </c>
      <c r="M49" s="37"/>
      <c r="N49" s="38"/>
      <c r="O49" s="39"/>
      <c r="P49" s="42"/>
      <c r="Q49" s="70"/>
      <c r="R49" s="42"/>
      <c r="S49" s="71"/>
      <c r="T49" s="42"/>
      <c r="U49" s="72"/>
    </row>
    <row r="50" spans="1:23" x14ac:dyDescent="0.3">
      <c r="A50" s="20"/>
      <c r="B50" s="20"/>
      <c r="C50" s="43"/>
      <c r="D50" s="183"/>
      <c r="E50" s="183"/>
      <c r="F50" s="17"/>
      <c r="G50" s="1"/>
      <c r="H50" s="68"/>
      <c r="I50" s="13"/>
      <c r="J50" s="57"/>
      <c r="K50" s="24" t="e">
        <f>Q34-U24</f>
        <v>#VALUE!</v>
      </c>
      <c r="L50" s="114">
        <v>11</v>
      </c>
      <c r="M50" s="37"/>
      <c r="N50" s="38"/>
      <c r="O50" s="39"/>
      <c r="P50" s="42"/>
      <c r="Q50" s="70"/>
      <c r="R50" s="42"/>
      <c r="S50" s="71"/>
      <c r="T50" s="42"/>
      <c r="U50" s="72"/>
    </row>
    <row r="51" spans="1:23" x14ac:dyDescent="0.3">
      <c r="A51" s="20"/>
      <c r="B51" s="20"/>
      <c r="C51" s="43"/>
      <c r="D51" s="183"/>
      <c r="E51" s="183"/>
      <c r="F51" s="23"/>
      <c r="G51" s="1"/>
      <c r="H51" s="68"/>
      <c r="I51" s="13"/>
      <c r="J51" s="57"/>
      <c r="L51" s="114">
        <v>12</v>
      </c>
      <c r="M51" s="37"/>
      <c r="N51" s="38"/>
      <c r="O51" s="39"/>
      <c r="P51" s="42"/>
      <c r="Q51" s="70"/>
      <c r="R51" s="42"/>
      <c r="S51" s="71"/>
      <c r="T51" s="44"/>
      <c r="U51" s="72"/>
    </row>
    <row r="52" spans="1:21" x14ac:dyDescent="0.3">
      <c r="A52" s="20"/>
      <c r="B52" s="20"/>
      <c r="C52" s="43"/>
      <c r="D52" s="183"/>
      <c r="E52" s="183"/>
      <c r="F52" s="23"/>
      <c r="G52" s="1"/>
      <c r="H52" s="50"/>
      <c r="I52" s="13"/>
      <c r="J52" s="57"/>
      <c r="L52" s="114">
        <v>13</v>
      </c>
      <c r="M52" s="37"/>
      <c r="N52" s="38"/>
      <c r="O52" s="39"/>
      <c r="P52" s="42"/>
      <c r="Q52" s="70"/>
      <c r="R52" s="42"/>
      <c r="S52" s="71"/>
      <c r="T52" s="44"/>
      <c r="U52" s="72"/>
    </row>
    <row r="53" spans="1:21" x14ac:dyDescent="0.3">
      <c r="A53" s="20"/>
      <c r="B53" s="20"/>
      <c r="C53" s="43"/>
      <c r="D53" s="23"/>
      <c r="E53" s="25"/>
      <c r="F53" s="23"/>
      <c r="G53" s="1"/>
      <c r="H53" s="50"/>
      <c r="I53" s="13"/>
      <c r="J53" s="57"/>
      <c r="L53" s="114">
        <v>14</v>
      </c>
      <c r="M53" s="37"/>
      <c r="N53" s="38"/>
      <c r="O53" s="39"/>
      <c r="P53" s="42"/>
      <c r="Q53" s="70"/>
      <c r="R53" s="42"/>
      <c r="S53" s="71"/>
      <c r="T53" s="44"/>
      <c r="U53" s="72"/>
    </row>
    <row r="54" spans="1:21" x14ac:dyDescent="0.3">
      <c r="A54" s="20"/>
      <c r="B54" s="20"/>
      <c r="C54" s="43"/>
      <c r="D54" s="184"/>
      <c r="E54" s="184"/>
      <c r="F54" s="23"/>
      <c r="G54" s="1"/>
      <c r="H54" s="50"/>
      <c r="I54" s="13"/>
      <c r="J54" s="57"/>
      <c r="L54" s="114">
        <v>15</v>
      </c>
      <c r="M54" s="37"/>
      <c r="N54" s="38"/>
      <c r="O54" s="39"/>
      <c r="P54" s="40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182"/>
      <c r="E55" s="182"/>
      <c r="F55" s="23"/>
      <c r="G55" s="1"/>
      <c r="H55" s="50"/>
      <c r="I55" s="54"/>
      <c r="J55" s="57"/>
      <c r="L55" s="114">
        <v>16</v>
      </c>
      <c r="M55" s="37"/>
      <c r="N55" s="38"/>
      <c r="O55" s="39"/>
      <c r="P55" s="40"/>
      <c r="Q55" s="70"/>
      <c r="R55" s="42"/>
      <c r="S55" s="71"/>
      <c r="T55" s="44"/>
      <c r="U55" s="72"/>
    </row>
    <row r="56" spans="1:21" x14ac:dyDescent="0.3">
      <c r="A56" s="25"/>
      <c r="B56" s="55"/>
      <c r="C56" s="43"/>
      <c r="D56" s="181"/>
      <c r="E56" s="181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 s="55"/>
      <c r="C57" s="43"/>
      <c r="D57" s="181"/>
      <c r="E57" s="181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 s="55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0"/>
      <c r="B60"/>
      <c r="C60" s="43"/>
      <c r="D60" s="22"/>
      <c r="E60" s="22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0"/>
      <c r="B61"/>
      <c r="C61" s="43"/>
      <c r="D61" s="22"/>
      <c r="E61" s="22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70"/>
      <c r="R61" s="42"/>
      <c r="S61" s="71"/>
      <c r="T61" s="44"/>
      <c r="U61" s="72"/>
    </row>
    <row r="62" spans="1:21" x14ac:dyDescent="0.3">
      <c r="A62" s="20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70"/>
      <c r="R62" s="42"/>
      <c r="S62" s="71"/>
      <c r="T62" s="44"/>
      <c r="U62" s="72"/>
    </row>
    <row r="63" spans="1:21" x14ac:dyDescent="0.3">
      <c r="A63" s="25"/>
      <c r="B63"/>
      <c r="C63" s="43"/>
      <c r="D63" s="181"/>
      <c r="E63" s="181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70"/>
      <c r="R63" s="42"/>
      <c r="S63" s="71"/>
      <c r="T63" s="44"/>
      <c r="U63" s="72"/>
    </row>
    <row r="64" spans="1:21" x14ac:dyDescent="0.3">
      <c r="A64" s="25"/>
      <c r="B64"/>
      <c r="C64" s="43"/>
      <c r="D64" s="22"/>
      <c r="E64" s="22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161"/>
      <c r="R64" s="93"/>
      <c r="S64" s="92"/>
      <c r="T64" s="44"/>
      <c r="U64" s="72"/>
    </row>
    <row r="65" spans="1:21" x14ac:dyDescent="0.3">
      <c r="A65" s="25"/>
      <c r="B65"/>
      <c r="C65" s="43"/>
      <c r="D65" s="22"/>
      <c r="E65" s="22"/>
      <c r="F65" s="23"/>
      <c r="G65" s="1"/>
      <c r="H65" s="50"/>
      <c r="I65" s="54"/>
      <c r="J65" s="57"/>
      <c r="L65" s="18"/>
      <c r="M65" s="37"/>
      <c r="N65" s="38"/>
      <c r="O65" s="39"/>
      <c r="P65" s="42"/>
      <c r="Q65" s="161"/>
      <c r="R65" s="93"/>
      <c r="S65" s="92"/>
      <c r="T65" s="44"/>
      <c r="U65" s="72"/>
    </row>
    <row r="66" spans="1:21" x14ac:dyDescent="0.3">
      <c r="A66" s="25"/>
      <c r="B66"/>
      <c r="C66" s="43"/>
      <c r="D66" s="22"/>
      <c r="E66" s="22"/>
      <c r="F66" s="23"/>
      <c r="G66" s="1"/>
      <c r="H66" s="50"/>
      <c r="I66" s="54"/>
      <c r="J66" s="57"/>
      <c r="L66" s="18"/>
      <c r="M66" s="37"/>
      <c r="N66" s="38"/>
      <c r="O66" s="39"/>
      <c r="P66" s="42"/>
      <c r="Q66" s="161"/>
      <c r="R66" s="93"/>
      <c r="S66" s="92"/>
      <c r="T66" s="44"/>
      <c r="U66" s="72"/>
    </row>
    <row r="67" spans="1:21" ht="15" thickBot="1" x14ac:dyDescent="0.35">
      <c r="A67" s="25"/>
      <c r="B67"/>
      <c r="C67" s="43"/>
      <c r="D67" s="181"/>
      <c r="E67" s="181"/>
      <c r="F67" s="23"/>
      <c r="G67" s="1"/>
      <c r="H67" s="50"/>
      <c r="I67" s="54"/>
      <c r="J67" s="57"/>
      <c r="L67" s="18"/>
      <c r="M67" s="37"/>
      <c r="N67" s="38"/>
      <c r="O67" s="39"/>
      <c r="P67" s="42"/>
      <c r="Q67" s="88"/>
      <c r="R67" s="93"/>
      <c r="S67" s="92"/>
      <c r="T67" s="44"/>
      <c r="U67" s="75"/>
    </row>
    <row r="68" spans="1:23" ht="16.5" customHeight="1" thickBot="1" x14ac:dyDescent="0.35">
      <c r="A68" s="25"/>
      <c r="B68"/>
      <c r="C68" s="43"/>
      <c r="D68" s="181"/>
      <c r="E68" s="181"/>
      <c r="F68" s="20"/>
      <c r="G68" s="1"/>
      <c r="H68" s="50"/>
      <c r="I68" s="54"/>
      <c r="J68" s="57"/>
      <c r="L68"/>
      <c r="M68" s="179" t="s">
        <v>34</v>
      </c>
      <c r="N68" s="180"/>
      <c r="O68" s="46"/>
      <c r="P68" s="56" t="s">
        <v>11</v>
      </c>
      <c r="Q68" s="46"/>
      <c r="R68" s="56" t="s">
        <v>11</v>
      </c>
      <c r="S68" s="46"/>
      <c r="T68" s="56" t="s">
        <v>11</v>
      </c>
      <c r="U68" s="46"/>
    </row>
    <row r="69" spans="1:23" ht="15" thickBot="1" x14ac:dyDescent="0.35">
      <c r="A69" s="25"/>
      <c r="B69"/>
      <c r="C69" s="95"/>
      <c r="D69" s="181"/>
      <c r="E69" s="181"/>
      <c r="F69" s="23"/>
      <c r="G69" s="1"/>
      <c r="H69" s="50"/>
      <c r="I69" s="54"/>
      <c r="J69"/>
      <c r="L69"/>
      <c r="M69" s="58"/>
      <c r="N69" s="59"/>
      <c r="O69" s="74"/>
      <c r="P69" s="23"/>
      <c r="Q69" s="73"/>
      <c r="R69" s="74"/>
      <c r="S69" s="74"/>
      <c r="T69" s="6"/>
    </row>
    <row r="70" spans="1:23" ht="16.2" thickBot="1" x14ac:dyDescent="0.35">
      <c r="A70" s="25"/>
      <c r="B70"/>
      <c r="C70" s="25"/>
      <c r="D70" s="22"/>
      <c r="E70" s="22"/>
      <c r="F70" s="23"/>
      <c r="G70" s="1"/>
      <c r="H70" s="50"/>
      <c r="I70" s="54"/>
      <c r="J70"/>
      <c r="L70"/>
      <c r="M70" s="189" t="s">
        <v>47</v>
      </c>
      <c r="N70" s="190"/>
      <c r="O70" s="193"/>
      <c r="P70" s="191"/>
      <c r="Q70" s="192"/>
      <c r="R70" s="189" t="s">
        <v>37</v>
      </c>
      <c r="S70" s="190"/>
      <c r="T70" s="185" t="str">
        <f>Q25</f>
      </c>
      <c r="U70" s="186"/>
    </row>
    <row r="71" spans="1:23" ht="15.75" customHeight="1" thickBot="1" x14ac:dyDescent="0.35">
      <c r="A71" s="25"/>
      <c r="B71"/>
      <c r="C71" s="25"/>
      <c r="D71" s="181"/>
      <c r="E71" s="181"/>
      <c r="F71" s="67"/>
      <c r="G71" s="1"/>
      <c r="H71" s="50"/>
      <c r="I71" s="54"/>
      <c r="J71"/>
      <c r="L71"/>
      <c r="M71" s="60"/>
      <c r="N71" s="87"/>
      <c r="O71" s="87"/>
      <c r="P71" s="61"/>
      <c r="Q71" s="62"/>
      <c r="R71" s="62"/>
      <c r="S71" s="62"/>
      <c r="T71" s="60"/>
      <c r="U71" s="60"/>
    </row>
    <row r="72" spans="1:23" ht="15.75" customHeight="1" thickBot="1" x14ac:dyDescent="0.35">
      <c r="A72" s="25"/>
      <c r="B72" s="95"/>
      <c r="C72" s="25"/>
      <c r="D72" s="181"/>
      <c r="E72" s="181"/>
      <c r="F72" s="67"/>
      <c r="G72" s="1"/>
      <c r="H72" s="50"/>
      <c r="I72" s="54"/>
      <c r="J72"/>
      <c r="L72"/>
      <c r="M72" s="179" t="s">
        <v>35</v>
      </c>
      <c r="N72" s="187"/>
      <c r="O72" s="187"/>
      <c r="P72" s="187"/>
      <c r="Q72" s="187"/>
      <c r="R72" s="187"/>
      <c r="S72" s="187"/>
      <c r="T72" s="187"/>
      <c r="U72" s="188"/>
      <c r="V72" s="55"/>
    </row>
    <row r="73" spans="1:23" ht="15" thickBot="1" x14ac:dyDescent="0.35">
      <c r="A73" s="25"/>
      <c r="B73" s="20"/>
      <c r="C73" s="25"/>
      <c r="D73" s="181"/>
      <c r="E73" s="181"/>
      <c r="F73" s="67"/>
      <c r="G73" s="1"/>
      <c r="H73" s="50"/>
      <c r="I73" s="54"/>
      <c r="J73"/>
      <c r="L73" s="53" t="s">
        <v>59</v>
      </c>
      <c r="M73" s="156" t="s">
        <v>55</v>
      </c>
      <c r="N73" s="157"/>
      <c r="O73" s="157"/>
      <c r="P73" s="157" t="s">
        <v>56</v>
      </c>
      <c r="Q73" s="157"/>
      <c r="R73" s="157"/>
      <c r="S73" s="157"/>
      <c r="T73" s="157" t="s">
        <v>57</v>
      </c>
      <c r="U73" s="158" t="s">
        <v>60</v>
      </c>
      <c r="V73" s="170" t="s">
        <v>58</v>
      </c>
      <c r="W73" s="170" t="s">
        <v>50</v>
      </c>
    </row>
    <row r="74" spans="1:23" ht="15.6" x14ac:dyDescent="0.3">
      <c r="A74" s="25"/>
      <c r="B74" s="130"/>
      <c r="C74" s="25"/>
      <c r="D74" s="181"/>
      <c r="E74" s="181"/>
      <c r="F74" s="67"/>
      <c r="G74" s="1"/>
      <c r="H74" s="50"/>
      <c r="I74" s="54"/>
      <c r="J74" s="23"/>
      <c r="L74"/>
      <c r="M74" s="63"/>
      <c r="N74" s="64"/>
      <c r="O74" s="169" t="s">
        <v>43</v>
      </c>
      <c r="P74" s="66"/>
      <c r="Q74" s="65"/>
      <c r="R74" s="178" t="s">
        <v>6</v>
      </c>
      <c r="S74" s="178"/>
      <c r="T74" s="159"/>
      <c r="U74" s="160"/>
      <c r="V74" s="55"/>
    </row>
    <row r="75" spans="1:23" ht="15.6" x14ac:dyDescent="0.3">
      <c r="B75" s="55"/>
      <c r="C75" s="94"/>
      <c r="D75" s="181"/>
      <c r="E75" s="181"/>
      <c r="F75" s="67"/>
      <c r="I75" s="130"/>
      <c r="L75"/>
      <c r="M75" s="89"/>
      <c r="N75" s="90"/>
      <c r="O75" s="18"/>
      <c r="P75" s="91"/>
      <c r="Q75" s="60"/>
      <c r="R75" s="173"/>
      <c r="S75" s="173"/>
      <c r="T75" s="69"/>
      <c r="U75" s="100"/>
      <c r="V75" s="55"/>
    </row>
    <row r="76" spans="1:23" ht="15.6" x14ac:dyDescent="0.3">
      <c r="A76" s="53"/>
      <c r="B76" s="94"/>
      <c r="C76" s="94"/>
      <c r="D76" s="23"/>
      <c r="E76" s="25"/>
      <c r="F76" s="67"/>
      <c r="I76" s="130"/>
      <c r="L76" s="49" t="inlineStr">
        <is>
          <t xml:space="preserve">111</t>
        </is>
      </c>
      <c r="M76" s="89" t="inlineStr">
        <is>
          <t xml:space="preserve">CLIENTE UNO</t>
        </is>
      </c>
      <c r="N76" s="90"/>
      <c r="O76" s="18" t="s">
        <v>43</v>
      </c>
      <c r="P76" s="91" t="inlineStr">
        <is>
          <t xml:space="preserve">F001</t>
        </is>
      </c>
      <c r="Q76" s="60"/>
      <c r="R76" s="173" t="s">
        <v>10</v>
      </c>
      <c r="S76" s="173"/>
      <c r="T76" s="69">
        <v>150000</v>
      </c>
      <c r="U76" s="100" t="inlineStr">
        <is>
          <t xml:space="preserve">SANTANDER</t>
        </is>
      </c>
      <c r="V76" s="55"/>
    </row>
    <row r="77" spans="1:23" x14ac:dyDescent="0.3">
      <c r="L77" s="49"/>
      <c r="M77" s="89" t="inlineStr">
        <is>
          <t xml:space="preserve">CLIENTE DOS</t>
        </is>
      </c>
      <c r="O77" s="89" t="inlineStr">
        <is>
          <t xml:space="preserve">BCI</t>
        </is>
      </c>
      <c r="P77" s="91" t="inlineStr">
        <is>
          <t xml:space="preserve">F002</t>
        </is>
      </c>
      <c r="T77" s="69">
        <v>250000</v>
      </c>
    </row>
    <row r="78" spans="1:23" x14ac:dyDescent="0.3">
      <c r="L78" s="49"/>
      <c r="M78" s="89" t="inlineStr">
        <is>
          <t xml:space="preserve">CLIENTE UNO</t>
        </is>
      </c>
      <c r="O78" s="89" t="inlineStr">
        <is>
          <t xml:space="preserve">SANTANDER</t>
        </is>
      </c>
      <c r="P78" s="91" t="inlineStr">
        <is>
          <t xml:space="preserve">F001</t>
        </is>
      </c>
      <c r="T78" s="69">
        <v>150000</v>
      </c>
    </row>
    <row r="79" spans="1:23" x14ac:dyDescent="0.3">
      <c r="L79" s="49"/>
      <c r="M79" s="89" t="inlineStr">
        <is>
          <t xml:space="preserve">CLIENTE DOS</t>
        </is>
      </c>
      <c r="O79" s="89" t="inlineStr">
        <is>
          <t xml:space="preserve">BCI</t>
        </is>
      </c>
      <c r="P79" s="91" t="inlineStr">
        <is>
          <t xml:space="preserve">F002</t>
        </is>
      </c>
      <c r="T79" s="69">
        <v>250000</v>
      </c>
    </row>
    <row r="80" spans="1:23" ht="15.6" x14ac:dyDescent="0.3">
      <c r="L80" s="49"/>
      <c r="M80" s="89"/>
      <c r="N80" s="90"/>
      <c r="O80" s="147"/>
      <c r="P80" s="91"/>
      <c r="Q80" s="60"/>
      <c r="R80" s="173"/>
      <c r="S80" s="173"/>
      <c r="T80" s="69"/>
      <c r="U80" s="100"/>
      <c r="V80" s="55"/>
    </row>
    <row r="81" spans="1:23" ht="15.6" x14ac:dyDescent="0.3">
      <c r="L81" s="49"/>
      <c r="M81" s="163" t="s">
        <v>61</v>
      </c>
      <c r="N81" s="164"/>
      <c r="O81" s="165"/>
      <c r="P81" s="166"/>
      <c r="Q81" s="167"/>
      <c r="R81" s="177"/>
      <c r="S81" s="177"/>
      <c r="T81" s="171"/>
      <c r="U81" s="172"/>
      <c r="V81" s="55"/>
    </row>
    <row r="82" spans="1:23" ht="15.6" x14ac:dyDescent="0.3">
      <c r="L82" s="49"/>
      <c r="M82" s="163" t="s">
        <v>62</v>
      </c>
      <c r="N82" s="164"/>
      <c r="O82" s="165"/>
      <c r="P82" s="166"/>
      <c r="Q82" s="167"/>
      <c r="R82" s="168"/>
      <c r="S82" s="168"/>
      <c r="T82" s="171"/>
      <c r="U82" s="172"/>
      <c r="V82" s="55"/>
    </row>
    <row r="83" spans="1:23" ht="16.2" thickBot="1" x14ac:dyDescent="0.35">
      <c r="L83" s="49"/>
      <c r="M83" s="99"/>
      <c r="N83" s="68"/>
      <c r="O83" s="147"/>
      <c r="P83" s="91"/>
      <c r="Q83" s="60"/>
      <c r="R83" s="60"/>
      <c r="S83" s="60"/>
      <c r="T83" s="69"/>
      <c r="U83" s="100"/>
      <c r="V83" s="55"/>
    </row>
    <row r="84" spans="1:23" ht="16.2" thickBot="1" x14ac:dyDescent="0.35">
      <c r="L84" s="49"/>
      <c r="M84" s="106" t="s">
        <v>11</v>
      </c>
      <c r="N84" s="107">
        <f>SUM(N82:N83)</f>
        <v>0</v>
      </c>
      <c r="O84" s="101"/>
      <c r="P84" s="103"/>
      <c r="Q84" s="102"/>
      <c r="R84" s="102"/>
      <c r="S84" s="102"/>
      <c r="T84" s="104"/>
      <c r="U84" s="105"/>
      <c r="V84" s="55"/>
    </row>
    <row r="85" spans="1:23" x14ac:dyDescent="0.3">
      <c r="M85"/>
      <c r="O85" s="5"/>
      <c r="Q85"/>
      <c r="S85"/>
      <c r="T85" s="6"/>
      <c r="V85" s="55"/>
    </row>
    <row r="86" spans="1:23" x14ac:dyDescent="0.3">
      <c r="O86"/>
      <c r="V86" s="55"/>
    </row>
    <row r="87" spans="13:22" x14ac:dyDescent="0.3">
      <c r="M87" s="23"/>
      <c r="N87" s="23"/>
      <c r="O87" s="23"/>
      <c r="P87" s="23"/>
      <c r="Q87" s="23"/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13:22" x14ac:dyDescent="0.3">
      <c r="V97" s="55"/>
    </row>
    <row r="98" spans="13:22" x14ac:dyDescent="0.3">
      <c r="V98" s="55"/>
    </row>
    <row r="99" spans="13:22" x14ac:dyDescent="0.3">
      <c r="V99" s="55"/>
    </row>
    <row r="100" spans="13:22" x14ac:dyDescent="0.3">
      <c r="V100" s="55"/>
    </row>
    <row r="101" spans="13:22" x14ac:dyDescent="0.3">
      <c r="V101" s="55"/>
    </row>
    <row r="102" spans="13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  <row r="113" spans="22:22" x14ac:dyDescent="0.3">
      <c r="V113" s="55"/>
    </row>
    <row r="114" spans="22:22" x14ac:dyDescent="0.3">
      <c r="V114" s="55"/>
    </row>
    <row r="115" spans="22:22" x14ac:dyDescent="0.3">
      <c r="V115" s="55"/>
    </row>
    <row r="116" spans="22:22" x14ac:dyDescent="0.3">
      <c r="V116" s="55"/>
    </row>
    <row r="117" spans="22:22" x14ac:dyDescent="0.3">
      <c r="V117" s="55"/>
    </row>
    <row r="118" spans="22:22" x14ac:dyDescent="0.3">
      <c r="V118" s="55"/>
    </row>
  </sheetData>
  <mergeCells count="72"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  <mergeCell ref="M25:N25"/>
    <mergeCell ref="O25:P25"/>
    <mergeCell ref="Q25:S25"/>
    <mergeCell ref="O30:P30"/>
    <mergeCell ref="Q30:S30"/>
    <mergeCell ref="T30:U30"/>
    <mergeCell ref="Q32:S32"/>
    <mergeCell ref="D46:E46"/>
    <mergeCell ref="R35:S35"/>
    <mergeCell ref="T35:U35"/>
    <mergeCell ref="O33:P33"/>
    <mergeCell ref="Q33:S33"/>
    <mergeCell ref="M34:N34"/>
    <mergeCell ref="O34:P34"/>
    <mergeCell ref="Q34:S34"/>
    <mergeCell ref="M31:N31"/>
    <mergeCell ref="O31:P31"/>
    <mergeCell ref="Q31:S31"/>
    <mergeCell ref="M30:N30"/>
    <mergeCell ref="M32:N32"/>
    <mergeCell ref="M41:N41"/>
    <mergeCell ref="M35:O35"/>
    <mergeCell ref="D47:E47"/>
    <mergeCell ref="O32:P32"/>
    <mergeCell ref="P35:Q35"/>
    <mergeCell ref="T70:U70"/>
    <mergeCell ref="M72:U72"/>
    <mergeCell ref="R70:S70"/>
    <mergeCell ref="D71:E71"/>
    <mergeCell ref="D73:E73"/>
    <mergeCell ref="P70:Q70"/>
    <mergeCell ref="D72:E72"/>
    <mergeCell ref="M70:O70"/>
    <mergeCell ref="D63:E63"/>
    <mergeCell ref="D69:E69"/>
    <mergeCell ref="D56:E56"/>
    <mergeCell ref="D54:E54"/>
    <mergeCell ref="D68:E68"/>
    <mergeCell ref="D57:E57"/>
    <mergeCell ref="D67:E67"/>
    <mergeCell ref="D51:E51"/>
    <mergeCell ref="D52:E52"/>
    <mergeCell ref="D50:E50"/>
    <mergeCell ref="D48:E48"/>
    <mergeCell ref="D49:E49"/>
    <mergeCell ref="T82:U82"/>
    <mergeCell ref="R80:S80"/>
    <mergeCell ref="R81:S81"/>
    <mergeCell ref="R74:S74"/>
    <mergeCell ref="R76:S76"/>
    <mergeCell ref="R75:S75"/>
    <mergeCell ref="T81:U81"/>
    <mergeCell ref="M68:N68"/>
    <mergeCell ref="D74:E74"/>
    <mergeCell ref="D75:E75"/>
    <mergeCell ref="D55:E55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4"/>
  <sheetViews>
    <sheetView tabSelected="1" topLeftCell="A53" zoomScale="85" zoomScaleNormal="85" workbookViewId="0">
      <pane xSplit="1" topLeftCell="M1" activePane="topRight" state="frozenSplit"/>
      <selection activeCell="A49" sqref="A49"/>
      <selection pane="topRight" activeCell="W28" sqref="W28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inlineStr">
        <is>
          <t xml:space="preserve">ANA</t>
        </is>
      </c>
      <c r="C1" s="143"/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 t="inlineStr">
        <is>
          <t xml:space="preserve">AUX ANA</t>
        </is>
      </c>
      <c r="C2" s="143"/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inlineStr">
        <is>
          <t xml:space="preserve">111</t>
        </is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>
        <v>10</v>
      </c>
      <c r="C6"/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43.2" x14ac:dyDescent="0.3">
      <c r="A7" s="127" t="s">
        <v>2</v>
      </c>
      <c r="B7" s="155">
        <v>1000000</v>
      </c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/>
      <c r="C8" s="123"/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227">
        <v>450000</v>
      </c>
      <c r="C9" s="228"/>
      <c r="D9" s="229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227">
        <v>50000</v>
      </c>
      <c r="C10" s="228"/>
      <c r="D10" s="229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227">
        <v>300000</v>
      </c>
      <c r="C11" s="228"/>
      <c r="D11" s="229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227"/>
      <c r="C12" s="228"/>
      <c r="D12" s="229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227"/>
      <c r="C13" s="228"/>
      <c r="D13" s="229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227"/>
      <c r="C14" s="228"/>
      <c r="D14" s="229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227"/>
      <c r="C15" s="228"/>
      <c r="D15" s="229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227"/>
      <c r="C16" s="228"/>
      <c r="D16" s="229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227"/>
      <c r="C17" s="228"/>
      <c r="D17" s="229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214" t="s">
        <v>48</v>
      </c>
      <c r="N22" s="214"/>
      <c r="O22" s="214"/>
      <c r="P22" s="214"/>
      <c r="Q22" s="214"/>
      <c r="R22" s="214"/>
      <c r="S22" s="214"/>
      <c r="T22" s="214"/>
      <c r="U22" s="214"/>
    </row>
    <row r="23" spans="1:23" ht="16.2" thickBot="1" x14ac:dyDescent="0.35">
      <c r="D23" s="6"/>
      <c r="J23"/>
      <c r="L23"/>
      <c r="M23" s="14" t="s">
        <v>13</v>
      </c>
      <c r="N23" s="221" t="inlineStr">
        <is>
          <t xml:space="preserve">24/06/2026</t>
        </is>
      </c>
      <c r="O23" s="222"/>
      <c r="P23" s="222"/>
      <c r="Q23" s="222"/>
      <c r="R23" s="222"/>
      <c r="S23" s="223"/>
      <c r="T23" s="142" t="s">
        <v>38</v>
      </c>
      <c r="U23" s="115">
        <v>10</v>
      </c>
      <c r="W23" s="96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224" t="s">
        <v>49</v>
      </c>
      <c r="O24" s="225"/>
      <c r="P24" s="225"/>
      <c r="Q24" s="225"/>
      <c r="R24" s="225"/>
      <c r="S24" s="226"/>
      <c r="T24" s="117" t="s">
        <v>11</v>
      </c>
      <c r="U24" s="116">
        <v>1000000</v>
      </c>
      <c r="W24" s="141">
        <v>10</v>
      </c>
    </row>
    <row r="25" spans="1:23" x14ac:dyDescent="0.3">
      <c r="B25" s="2"/>
      <c r="C25" s="111"/>
      <c r="D25" s="3" t="s">
        <v>15</v>
      </c>
      <c r="E25" s="4"/>
      <c r="J25"/>
      <c r="L25"/>
      <c r="M25" s="209" t="s">
        <v>16</v>
      </c>
      <c r="N25" s="210"/>
      <c r="O25" s="211"/>
      <c r="P25" s="212"/>
      <c r="Q25" s="174">
        <v>450000</v>
      </c>
      <c r="R25" s="175"/>
      <c r="S25" s="176"/>
      <c r="T25" s="207" t="s">
        <v>17</v>
      </c>
      <c r="U25" s="208"/>
      <c r="V25" s="13"/>
      <c r="W25" s="86" t="s">
        <v>45</v>
      </c>
    </row>
    <row r="26" spans="1:23" x14ac:dyDescent="0.3">
      <c r="E26" s="4"/>
      <c r="J26"/>
      <c r="L26"/>
      <c r="M26" s="83" t="s">
        <v>53</v>
      </c>
      <c r="N26" s="84"/>
      <c r="O26" s="151"/>
      <c r="P26" s="152"/>
      <c r="Q26" s="174">
        <v>50000</v>
      </c>
      <c r="R26" s="175"/>
      <c r="S26" s="176"/>
      <c r="T26" s="149"/>
      <c r="U26" s="150"/>
      <c r="V26" s="13"/>
      <c r="W26" s="86"/>
    </row>
    <row r="27" spans="1:23" x14ac:dyDescent="0.3">
      <c r="I27" s="118" t="str">
        <f>B1</f>
      </c>
      <c r="J27" s="162" t="str">
        <f>B9</f>
      </c>
      <c r="L27"/>
      <c r="M27" s="83" t="s">
        <v>18</v>
      </c>
      <c r="N27" s="84"/>
      <c r="O27" s="199"/>
      <c r="P27" s="200"/>
      <c r="Q27" s="174">
        <v>300000</v>
      </c>
      <c r="R27" s="175"/>
      <c r="S27" s="176"/>
      <c r="T27" s="219" t="s">
        <v>19</v>
      </c>
      <c r="U27" s="220"/>
      <c r="V27" s="19"/>
      <c r="W27" s="97">
        <v>1000000</v>
      </c>
    </row>
    <row r="28" spans="1:23" x14ac:dyDescent="0.3">
      <c r="I28" s="118">
        <f>C1</f>
        <v>0</v>
      </c>
      <c r="J28" s="162">
        <f>C9</f>
        <v>0</v>
      </c>
      <c r="L28"/>
      <c r="M28" s="194" t="s">
        <v>20</v>
      </c>
      <c r="N28" s="195"/>
      <c r="O28" s="199"/>
      <c r="P28" s="200"/>
      <c r="Q28" s="174"/>
      <c r="R28" s="175"/>
      <c r="S28" s="176"/>
      <c r="T28" s="217" t="s">
        <v>39</v>
      </c>
      <c r="U28" s="218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194" t="s">
        <v>21</v>
      </c>
      <c r="N29" s="195"/>
      <c r="O29" s="199"/>
      <c r="P29" s="200"/>
      <c r="Q29" s="174"/>
      <c r="R29" s="175"/>
      <c r="S29" s="176"/>
      <c r="T29" s="215" t="s">
        <v>40</v>
      </c>
      <c r="U29" s="216"/>
      <c r="W29" s="98" t="str">
        <f>U23</f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194" t="s">
        <v>22</v>
      </c>
      <c r="N30" s="195"/>
      <c r="O30" s="199"/>
      <c r="P30" s="213"/>
      <c r="Q30" s="174"/>
      <c r="R30" s="175"/>
      <c r="S30" s="176"/>
      <c r="T30" s="201" t="s">
        <v>41</v>
      </c>
      <c r="U30" s="202"/>
      <c r="V30" s="24"/>
      <c r="W30" s="21" t="str">
        <f>Q34</f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194" t="s">
        <v>23</v>
      </c>
      <c r="N31" s="195"/>
      <c r="O31" s="199"/>
      <c r="P31" s="200"/>
      <c r="Q31" s="174"/>
      <c r="R31" s="175"/>
      <c r="S31" s="176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194" t="s">
        <v>24</v>
      </c>
      <c r="N32" s="195"/>
      <c r="O32" s="199"/>
      <c r="P32" s="200"/>
      <c r="Q32" s="174"/>
      <c r="R32" s="175"/>
      <c r="S32" s="176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199"/>
      <c r="P33" s="200"/>
      <c r="Q33" s="174"/>
      <c r="R33" s="175"/>
      <c r="S33" s="176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203" t="s">
        <v>26</v>
      </c>
      <c r="N34" s="204"/>
      <c r="O34" s="205"/>
      <c r="P34" s="206"/>
      <c r="Q34" s="174">
        <v>1000000</v>
      </c>
      <c r="R34" s="175"/>
      <c r="S34" s="176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196" t="s">
        <v>27</v>
      </c>
      <c r="N35" s="197"/>
      <c r="O35" s="198"/>
      <c r="P35" s="189" t="s">
        <v>28</v>
      </c>
      <c r="Q35" s="193"/>
      <c r="R35" s="189" t="s">
        <v>29</v>
      </c>
      <c r="S35" s="193"/>
      <c r="T35" s="189" t="s">
        <v>30</v>
      </c>
      <c r="U35" s="193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SUM(O42)</f>
        <v>0</v>
      </c>
      <c r="L37"/>
      <c r="M37" s="37" t="inlineStr">
        <is>
          <t xml:space="preserve">01/01/2026</t>
        </is>
      </c>
      <c r="N37" s="38" t="inlineStr">
        <is>
          <t xml:space="preserve">SANTANDER</t>
        </is>
      </c>
      <c r="O37" s="39">
        <v>100000</v>
      </c>
      <c r="P37" s="40"/>
      <c r="Q37" s="81"/>
      <c r="R37" s="41"/>
      <c r="S37" s="82"/>
      <c r="T37" s="42"/>
      <c r="U37" s="78"/>
      <c r="V37" s="1"/>
      <c r="W37" s="18" t="s">
        <v>14</v>
      </c>
    </row>
    <row r="38" spans="1:23" x14ac:dyDescent="0.3">
      <c r="M38" s="37" t="inlineStr">
        <is>
          <t xml:space="preserve">02/01/2026</t>
        </is>
      </c>
      <c r="N38" s="38" t="inlineStr">
        <is>
          <t xml:space="preserve">BCI</t>
        </is>
      </c>
      <c r="O38" s="39">
        <v>200000</v>
      </c>
      <c r="P38" s="42"/>
      <c r="Q38" s="72"/>
      <c r="R38" s="44"/>
      <c r="S38" s="77"/>
      <c r="T38" s="42"/>
      <c r="U38" s="72"/>
    </row>
    <row r="39" spans="1:23" ht="15" thickBot="1" x14ac:dyDescent="0.35">
      <c r="B39" s="20"/>
      <c r="C39" s="32"/>
      <c r="I39" s="134"/>
      <c r="J39"/>
      <c r="L39" s="114">
        <v>2</v>
      </c>
      <c r="M39" s="179" t="s">
        <v>42</v>
      </c>
      <c r="N39" s="180"/>
      <c r="O39" s="46">
        <v>300000</v>
      </c>
      <c r="P39" s="42"/>
      <c r="Q39" s="79"/>
      <c r="R39" s="44"/>
      <c r="S39" s="77"/>
      <c r="T39" s="42"/>
      <c r="U39" s="80"/>
      <c r="V39" s="1"/>
      <c r="W39" s="1"/>
    </row>
    <row r="40" spans="1:23" x14ac:dyDescent="0.3">
      <c r="B40" s="20"/>
      <c r="C40" s="32"/>
      <c r="I40" s="134"/>
      <c r="J40"/>
      <c r="K40" s="24" t="e">
        <f>Q27+Q28</f>
        <v>#VALUE!</v>
      </c>
      <c r="L40" s="114">
        <v>3</v>
      </c>
      <c r="M40" s="37"/>
      <c r="N40" s="38"/>
      <c r="O40" s="39"/>
      <c r="P40" s="42"/>
      <c r="Q40" s="72"/>
      <c r="R40" s="44"/>
      <c r="S40" s="77"/>
      <c r="T40" s="42"/>
      <c r="U40" s="72"/>
      <c r="V40" s="1"/>
      <c r="W40" s="1"/>
    </row>
    <row r="41" spans="1:23" ht="16.5" customHeight="1" x14ac:dyDescent="0.4">
      <c r="B41" s="20"/>
      <c r="C41" s="32"/>
      <c r="D41" s="48"/>
      <c r="E41" s="47"/>
      <c r="I41" s="134"/>
      <c r="J41"/>
      <c r="K41" s="24"/>
      <c r="L41" s="114">
        <v>4</v>
      </c>
      <c r="M41" s="37"/>
      <c r="N41" s="38"/>
      <c r="O41" s="39"/>
      <c r="P41" s="42"/>
      <c r="Q41" s="70"/>
      <c r="R41" s="44"/>
      <c r="S41" s="78"/>
      <c r="T41" s="42"/>
      <c r="U41" s="72"/>
      <c r="V41" s="1"/>
      <c r="W41" s="1"/>
    </row>
    <row r="42" spans="1:23" ht="15" customHeight="1" x14ac:dyDescent="0.3">
      <c r="B42" s="20"/>
      <c r="C42" s="32"/>
      <c r="D42" s="23"/>
      <c r="E42" s="23"/>
      <c r="I42" s="133"/>
      <c r="J42"/>
      <c r="K42" s="24"/>
      <c r="L42" s="114">
        <v>5</v>
      </c>
      <c r="M42" s="37"/>
      <c r="N42" s="38"/>
      <c r="O42" s="39"/>
      <c r="P42" s="42"/>
      <c r="Q42" s="70"/>
      <c r="R42" s="44"/>
      <c r="S42" s="78"/>
      <c r="T42" s="42"/>
      <c r="U42" s="72"/>
      <c r="V42" s="1"/>
      <c r="W42" s="1"/>
    </row>
    <row r="43" spans="1:23" ht="15" customHeight="1" x14ac:dyDescent="0.6">
      <c r="B43" s="20"/>
      <c r="C43" s="25"/>
      <c r="D43" s="23"/>
      <c r="E43" s="23"/>
      <c r="F43" s="51"/>
      <c r="I43" s="135"/>
      <c r="J43" s="57"/>
      <c r="L43" s="114">
        <v>6</v>
      </c>
      <c r="M43" s="37"/>
      <c r="N43" s="38"/>
      <c r="O43" s="39"/>
      <c r="P43" s="42"/>
      <c r="Q43" s="70"/>
      <c r="R43" s="44"/>
      <c r="S43" s="77"/>
      <c r="T43" s="42"/>
      <c r="U43" s="72"/>
      <c r="V43" s="1"/>
      <c r="W43" s="1"/>
    </row>
    <row r="44" spans="1:23" ht="15.75" customHeight="1" x14ac:dyDescent="0.6">
      <c r="A44" s="112"/>
      <c r="B44" s="20"/>
      <c r="C44" s="32"/>
      <c r="D44" s="183"/>
      <c r="E44" s="183"/>
      <c r="F44" s="51"/>
      <c r="G44" s="8"/>
      <c r="I44" s="136"/>
      <c r="J44" s="57"/>
      <c r="K44" s="24" t="e">
        <f>O39+O66</f>
        <v>#VALUE!</v>
      </c>
      <c r="L44" s="114">
        <v>7</v>
      </c>
      <c r="M44" s="37"/>
      <c r="N44" s="38"/>
      <c r="O44" s="39"/>
      <c r="P44" s="42"/>
      <c r="Q44" s="70"/>
      <c r="R44" s="42"/>
      <c r="S44" s="71"/>
      <c r="T44" s="42"/>
      <c r="U44" s="72"/>
    </row>
    <row r="45" spans="1:23" ht="15" customHeight="1" x14ac:dyDescent="0.3">
      <c r="A45" s="25"/>
      <c r="B45" s="20"/>
      <c r="C45" s="25"/>
      <c r="D45" s="183"/>
      <c r="E45" s="183"/>
      <c r="F45" s="52"/>
      <c r="H45" s="68"/>
      <c r="I45" s="13"/>
      <c r="J45" s="57"/>
      <c r="K45" s="24"/>
      <c r="L45" s="114">
        <v>8</v>
      </c>
      <c r="M45" s="37"/>
      <c r="N45" s="38"/>
      <c r="O45" s="39"/>
      <c r="P45" s="42"/>
      <c r="Q45" s="70"/>
      <c r="R45" s="42"/>
      <c r="S45" s="71"/>
      <c r="T45" s="42"/>
      <c r="U45" s="72"/>
    </row>
    <row r="46" spans="1:23" x14ac:dyDescent="0.3">
      <c r="A46" s="25"/>
      <c r="B46" s="25"/>
      <c r="C46" s="43"/>
      <c r="D46" s="183"/>
      <c r="E46" s="183"/>
      <c r="F46" s="23"/>
      <c r="H46" s="68"/>
      <c r="I46" s="13"/>
      <c r="J46" s="57"/>
      <c r="L46" s="114">
        <v>9</v>
      </c>
      <c r="M46" s="37"/>
      <c r="N46" s="38"/>
      <c r="O46" s="39"/>
      <c r="P46" s="42"/>
      <c r="Q46" s="70"/>
      <c r="R46" s="42"/>
      <c r="S46" s="76"/>
      <c r="T46" s="42"/>
      <c r="U46" s="72"/>
    </row>
    <row r="47" spans="1:23" x14ac:dyDescent="0.3">
      <c r="A47" s="20"/>
      <c r="B47" s="20"/>
      <c r="C47" s="43"/>
      <c r="D47" s="183"/>
      <c r="E47" s="183"/>
      <c r="F47" s="53"/>
      <c r="H47" s="68"/>
      <c r="I47" s="13"/>
      <c r="J47" s="57"/>
      <c r="L47" s="114">
        <v>10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0"/>
      <c r="B48" s="20"/>
      <c r="C48" s="43"/>
      <c r="D48" s="183"/>
      <c r="E48" s="183"/>
      <c r="F48" s="17"/>
      <c r="G48" s="1"/>
      <c r="H48" s="68"/>
      <c r="I48" s="13"/>
      <c r="J48" s="57"/>
      <c r="K48" s="24" t="e">
        <f>Q34-U24</f>
        <v>#VALUE!</v>
      </c>
      <c r="L48" s="114">
        <v>11</v>
      </c>
      <c r="M48" s="37"/>
      <c r="N48" s="38"/>
      <c r="O48" s="39"/>
      <c r="P48" s="42"/>
      <c r="Q48" s="70"/>
      <c r="R48" s="42"/>
      <c r="S48" s="71"/>
      <c r="T48" s="42"/>
      <c r="U48" s="72"/>
    </row>
    <row r="49" spans="1:23" x14ac:dyDescent="0.3">
      <c r="A49" s="20"/>
      <c r="B49" s="20"/>
      <c r="C49" s="43"/>
      <c r="D49" s="183"/>
      <c r="E49" s="183"/>
      <c r="F49" s="23"/>
      <c r="G49" s="1"/>
      <c r="H49" s="68"/>
      <c r="I49" s="13"/>
      <c r="J49" s="57"/>
      <c r="L49" s="114">
        <v>12</v>
      </c>
      <c r="M49" s="37"/>
      <c r="N49" s="38"/>
      <c r="O49" s="39"/>
      <c r="P49" s="42"/>
      <c r="Q49" s="70"/>
      <c r="R49" s="42"/>
      <c r="S49" s="71"/>
      <c r="T49" s="44"/>
      <c r="U49" s="72"/>
    </row>
    <row r="50" spans="1:21" x14ac:dyDescent="0.3">
      <c r="A50" s="20"/>
      <c r="B50" s="20"/>
      <c r="C50" s="43"/>
      <c r="D50" s="183"/>
      <c r="E50" s="183"/>
      <c r="F50" s="23"/>
      <c r="G50" s="1"/>
      <c r="H50" s="50"/>
      <c r="I50" s="13"/>
      <c r="J50" s="57"/>
      <c r="L50" s="114">
        <v>13</v>
      </c>
      <c r="M50" s="37"/>
      <c r="N50" s="38"/>
      <c r="O50" s="39"/>
      <c r="P50" s="42"/>
      <c r="Q50" s="70"/>
      <c r="R50" s="42"/>
      <c r="S50" s="71"/>
      <c r="T50" s="44"/>
      <c r="U50" s="72"/>
    </row>
    <row r="51" spans="1:21" x14ac:dyDescent="0.3">
      <c r="A51" s="20"/>
      <c r="B51" s="20"/>
      <c r="C51" s="43"/>
      <c r="D51" s="23"/>
      <c r="E51" s="25"/>
      <c r="F51" s="23"/>
      <c r="G51" s="1"/>
      <c r="H51" s="50"/>
      <c r="I51" s="13"/>
      <c r="J51" s="57"/>
      <c r="L51" s="114">
        <v>14</v>
      </c>
      <c r="M51" s="37"/>
      <c r="N51" s="38"/>
      <c r="O51" s="39"/>
      <c r="P51" s="42"/>
      <c r="Q51" s="70"/>
      <c r="R51" s="42"/>
      <c r="S51" s="71"/>
      <c r="T51" s="44"/>
      <c r="U51" s="72"/>
    </row>
    <row r="52" spans="1:21" x14ac:dyDescent="0.3">
      <c r="A52" s="20"/>
      <c r="B52" s="20"/>
      <c r="C52" s="43"/>
      <c r="D52" s="184"/>
      <c r="E52" s="184"/>
      <c r="F52" s="23"/>
      <c r="G52" s="1"/>
      <c r="H52" s="50"/>
      <c r="I52" s="13"/>
      <c r="J52" s="57"/>
      <c r="L52" s="114">
        <v>15</v>
      </c>
      <c r="M52" s="37"/>
      <c r="N52" s="38"/>
      <c r="O52" s="39"/>
      <c r="P52" s="40"/>
      <c r="Q52" s="70"/>
      <c r="R52" s="42"/>
      <c r="S52" s="71"/>
      <c r="T52" s="44"/>
      <c r="U52" s="72"/>
    </row>
    <row r="53" spans="1:21" x14ac:dyDescent="0.3">
      <c r="A53" s="20"/>
      <c r="B53" s="55"/>
      <c r="C53" s="43"/>
      <c r="D53" s="182"/>
      <c r="E53" s="182"/>
      <c r="F53" s="23"/>
      <c r="G53" s="1"/>
      <c r="H53" s="50"/>
      <c r="I53" s="54"/>
      <c r="J53" s="57"/>
      <c r="L53" s="114">
        <v>16</v>
      </c>
      <c r="M53" s="37"/>
      <c r="N53" s="38"/>
      <c r="O53" s="39"/>
      <c r="P53" s="40"/>
      <c r="Q53" s="70"/>
      <c r="R53" s="42"/>
      <c r="S53" s="71"/>
      <c r="T53" s="44"/>
      <c r="U53" s="72"/>
    </row>
    <row r="54" spans="1:21" x14ac:dyDescent="0.3">
      <c r="A54" s="25"/>
      <c r="B54" s="55"/>
      <c r="C54" s="43"/>
      <c r="D54" s="181"/>
      <c r="E54" s="181"/>
      <c r="F54" s="23"/>
      <c r="G54" s="1"/>
      <c r="H54" s="50"/>
      <c r="I54" s="54"/>
      <c r="J54" s="57"/>
      <c r="L54" s="18"/>
      <c r="M54" s="37"/>
      <c r="N54" s="38"/>
      <c r="O54" s="39"/>
      <c r="P54" s="42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181"/>
      <c r="E55" s="181"/>
      <c r="F55" s="23"/>
      <c r="G55" s="1"/>
      <c r="H55" s="50"/>
      <c r="I55" s="54"/>
      <c r="J55" s="57"/>
      <c r="L55" s="18"/>
      <c r="M55" s="37"/>
      <c r="N55" s="38"/>
      <c r="O55" s="39"/>
      <c r="P55" s="42"/>
      <c r="Q55" s="70"/>
      <c r="R55" s="42"/>
      <c r="S55" s="71"/>
      <c r="T55" s="44"/>
      <c r="U55" s="72"/>
    </row>
    <row r="56" spans="1:21" x14ac:dyDescent="0.3">
      <c r="A56" s="20"/>
      <c r="B56" s="55"/>
      <c r="C56" s="43"/>
      <c r="D56" s="22"/>
      <c r="E56" s="22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/>
      <c r="C57" s="43"/>
      <c r="D57" s="22"/>
      <c r="E57" s="22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0"/>
      <c r="B60"/>
      <c r="C60" s="43"/>
      <c r="D60" s="22"/>
      <c r="E60" s="22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5"/>
      <c r="B61"/>
      <c r="C61" s="43"/>
      <c r="D61" s="181"/>
      <c r="E61" s="181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70"/>
      <c r="R61" s="42"/>
      <c r="S61" s="71"/>
      <c r="T61" s="44"/>
      <c r="U61" s="72"/>
    </row>
    <row r="62" spans="1:21" x14ac:dyDescent="0.3">
      <c r="A62" s="25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161"/>
      <c r="R62" s="93"/>
      <c r="S62" s="92"/>
      <c r="T62" s="44"/>
      <c r="U62" s="72"/>
    </row>
    <row r="63" spans="1:21" x14ac:dyDescent="0.3">
      <c r="A63" s="25"/>
      <c r="B63"/>
      <c r="C63" s="43"/>
      <c r="D63" s="22"/>
      <c r="E63" s="22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161"/>
      <c r="R63" s="93"/>
      <c r="S63" s="92"/>
      <c r="T63" s="44"/>
      <c r="U63" s="72"/>
    </row>
    <row r="64" spans="1:21" x14ac:dyDescent="0.3">
      <c r="A64" s="25"/>
      <c r="B64"/>
      <c r="C64" s="43"/>
      <c r="D64" s="22"/>
      <c r="E64" s="22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161"/>
      <c r="R64" s="93"/>
      <c r="S64" s="92"/>
      <c r="T64" s="44"/>
      <c r="U64" s="72"/>
    </row>
    <row r="65" spans="1:21" ht="15" thickBot="1" x14ac:dyDescent="0.35">
      <c r="A65" s="25"/>
      <c r="B65"/>
      <c r="C65" s="43"/>
      <c r="D65" s="181"/>
      <c r="E65" s="181"/>
      <c r="F65" s="23"/>
      <c r="G65" s="1"/>
      <c r="H65" s="50"/>
      <c r="I65" s="54"/>
      <c r="J65" s="57"/>
      <c r="L65" s="18"/>
      <c r="M65" s="37"/>
      <c r="N65" s="38"/>
      <c r="O65" s="39"/>
      <c r="P65" s="42"/>
      <c r="Q65" s="88"/>
      <c r="R65" s="93"/>
      <c r="S65" s="92"/>
      <c r="T65" s="44"/>
      <c r="U65" s="75"/>
    </row>
    <row r="66" spans="1:23" ht="16.5" customHeight="1" thickBot="1" x14ac:dyDescent="0.35">
      <c r="A66" s="25"/>
      <c r="B66"/>
      <c r="C66" s="43"/>
      <c r="D66" s="181"/>
      <c r="E66" s="181"/>
      <c r="F66" s="20"/>
      <c r="G66" s="1"/>
      <c r="H66" s="50"/>
      <c r="I66" s="54"/>
      <c r="J66" s="57"/>
      <c r="L66"/>
      <c r="M66" s="179" t="s">
        <v>34</v>
      </c>
      <c r="N66" s="180"/>
      <c r="O66" s="46"/>
      <c r="P66" s="56" t="s">
        <v>11</v>
      </c>
      <c r="Q66" s="46"/>
      <c r="R66" s="56" t="s">
        <v>11</v>
      </c>
      <c r="S66" s="46"/>
      <c r="T66" s="56" t="s">
        <v>11</v>
      </c>
      <c r="U66" s="46"/>
    </row>
    <row r="67" spans="1:23" ht="15" thickBot="1" x14ac:dyDescent="0.35">
      <c r="A67" s="25"/>
      <c r="B67"/>
      <c r="C67" s="95"/>
      <c r="D67" s="181"/>
      <c r="E67" s="181"/>
      <c r="F67" s="23"/>
      <c r="G67" s="1"/>
      <c r="H67" s="50"/>
      <c r="I67" s="54"/>
      <c r="J67"/>
      <c r="L67"/>
      <c r="M67" s="58"/>
      <c r="N67" s="59"/>
      <c r="O67" s="74"/>
      <c r="P67" s="23"/>
      <c r="Q67" s="73"/>
      <c r="R67" s="74"/>
      <c r="S67" s="74"/>
      <c r="T67" s="6"/>
    </row>
    <row r="68" spans="1:23" ht="16.2" thickBot="1" x14ac:dyDescent="0.35">
      <c r="A68" s="25"/>
      <c r="B68"/>
      <c r="C68" s="25"/>
      <c r="D68" s="22"/>
      <c r="E68" s="22"/>
      <c r="F68" s="23"/>
      <c r="G68" s="1"/>
      <c r="H68" s="50"/>
      <c r="I68" s="54"/>
      <c r="J68"/>
      <c r="L68"/>
      <c r="M68" s="189" t="s">
        <v>47</v>
      </c>
      <c r="N68" s="190"/>
      <c r="O68" s="193"/>
      <c r="P68" s="191"/>
      <c r="Q68" s="192"/>
      <c r="R68" s="189" t="s">
        <v>37</v>
      </c>
      <c r="S68" s="190"/>
      <c r="T68" s="185" t="str">
        <f>Q25</f>
      </c>
      <c r="U68" s="186"/>
    </row>
    <row r="69" spans="1:23" ht="15.75" customHeight="1" thickBot="1" x14ac:dyDescent="0.35">
      <c r="A69" s="25"/>
      <c r="B69"/>
      <c r="C69" s="25"/>
      <c r="D69" s="181"/>
      <c r="E69" s="181"/>
      <c r="F69" s="67"/>
      <c r="G69" s="1"/>
      <c r="H69" s="50"/>
      <c r="I69" s="54"/>
      <c r="J69"/>
      <c r="L69"/>
      <c r="M69" s="60"/>
      <c r="N69" s="87"/>
      <c r="O69" s="87"/>
      <c r="P69" s="61"/>
      <c r="Q69" s="62"/>
      <c r="R69" s="62"/>
      <c r="S69" s="62"/>
      <c r="T69" s="60"/>
      <c r="U69" s="60"/>
    </row>
    <row r="70" spans="1:23" ht="15.75" customHeight="1" thickBot="1" x14ac:dyDescent="0.35">
      <c r="A70" s="25"/>
      <c r="B70" s="95"/>
      <c r="C70" s="25"/>
      <c r="D70" s="181"/>
      <c r="E70" s="181"/>
      <c r="F70" s="67"/>
      <c r="G70" s="1"/>
      <c r="H70" s="50"/>
      <c r="I70" s="54"/>
      <c r="J70"/>
      <c r="L70"/>
      <c r="M70" s="179" t="s">
        <v>35</v>
      </c>
      <c r="N70" s="187"/>
      <c r="O70" s="187"/>
      <c r="P70" s="187"/>
      <c r="Q70" s="187"/>
      <c r="R70" s="187"/>
      <c r="S70" s="187"/>
      <c r="T70" s="187"/>
      <c r="U70" s="188"/>
      <c r="V70" s="55"/>
    </row>
    <row r="71" spans="1:23" ht="15" thickBot="1" x14ac:dyDescent="0.35">
      <c r="A71" s="25"/>
      <c r="B71" s="20"/>
      <c r="C71" s="25"/>
      <c r="D71" s="181"/>
      <c r="E71" s="181"/>
      <c r="F71" s="67"/>
      <c r="G71" s="1"/>
      <c r="H71" s="50"/>
      <c r="I71" s="54"/>
      <c r="J71"/>
      <c r="L71" s="53" t="s">
        <v>59</v>
      </c>
      <c r="M71" s="156" t="s">
        <v>55</v>
      </c>
      <c r="N71" s="157"/>
      <c r="O71" s="157"/>
      <c r="P71" s="157" t="s">
        <v>56</v>
      </c>
      <c r="Q71" s="157"/>
      <c r="R71" s="157"/>
      <c r="S71" s="157"/>
      <c r="T71" s="157" t="s">
        <v>57</v>
      </c>
      <c r="U71" s="158" t="s">
        <v>60</v>
      </c>
      <c r="V71" s="170" t="s">
        <v>58</v>
      </c>
      <c r="W71" s="170" t="s">
        <v>50</v>
      </c>
    </row>
    <row r="72" spans="1:23" ht="15.6" x14ac:dyDescent="0.3">
      <c r="A72" s="25"/>
      <c r="B72" s="130"/>
      <c r="C72" s="25"/>
      <c r="D72" s="181"/>
      <c r="E72" s="181"/>
      <c r="F72" s="67"/>
      <c r="G72" s="1"/>
      <c r="H72" s="50"/>
      <c r="I72" s="54"/>
      <c r="J72" s="23"/>
      <c r="L72"/>
      <c r="M72" s="63"/>
      <c r="N72" s="64"/>
      <c r="O72" s="169" t="s">
        <v>43</v>
      </c>
      <c r="P72" s="66"/>
      <c r="Q72" s="65"/>
      <c r="R72" s="178" t="s">
        <v>6</v>
      </c>
      <c r="S72" s="178"/>
      <c r="T72" s="159"/>
      <c r="U72" s="160"/>
      <c r="V72" s="55"/>
    </row>
    <row r="73" spans="1:23" ht="15.6" x14ac:dyDescent="0.3">
      <c r="B73" s="55"/>
      <c r="C73" s="94"/>
      <c r="D73" s="181"/>
      <c r="E73" s="181"/>
      <c r="F73" s="67"/>
      <c r="I73" s="130"/>
      <c r="L73"/>
      <c r="M73" s="89"/>
      <c r="N73" s="90"/>
      <c r="O73" s="18"/>
      <c r="P73" s="91"/>
      <c r="Q73" s="60"/>
      <c r="R73" s="173"/>
      <c r="S73" s="173"/>
      <c r="T73" s="69"/>
      <c r="U73" s="100"/>
      <c r="V73" s="55"/>
    </row>
    <row r="74" spans="1:23" ht="15.6" x14ac:dyDescent="0.3">
      <c r="A74" s="53"/>
      <c r="B74" s="94"/>
      <c r="C74" s="94"/>
      <c r="D74" s="23"/>
      <c r="E74" s="25"/>
      <c r="F74" s="67"/>
      <c r="I74" s="130"/>
      <c r="L74" s="49" t="inlineStr">
        <is>
          <t xml:space="preserve">111</t>
        </is>
      </c>
      <c r="M74" s="89" t="inlineStr">
        <is>
          <t xml:space="preserve">CLIENTE UNO</t>
        </is>
      </c>
      <c r="N74" s="90"/>
      <c r="O74" s="18" t="s">
        <v>43</v>
      </c>
      <c r="P74" s="91" t="inlineStr">
        <is>
          <t xml:space="preserve">F001</t>
        </is>
      </c>
      <c r="Q74" s="60"/>
      <c r="R74" s="173" t="s">
        <v>10</v>
      </c>
      <c r="S74" s="173"/>
      <c r="T74" s="69">
        <v>150000</v>
      </c>
      <c r="U74" s="100" t="inlineStr">
        <is>
          <t xml:space="preserve">SANTANDER</t>
        </is>
      </c>
      <c r="V74" s="55"/>
    </row>
    <row r="75" spans="1:23" x14ac:dyDescent="0.3">
      <c r="L75" s="49"/>
      <c r="M75" s="89" t="inlineStr">
        <is>
          <t xml:space="preserve">CLIENTE DOS</t>
        </is>
      </c>
      <c r="O75" s="89" t="inlineStr">
        <is>
          <t xml:space="preserve">BCI</t>
        </is>
      </c>
      <c r="P75" s="91" t="inlineStr">
        <is>
          <t xml:space="preserve">F002</t>
        </is>
      </c>
      <c r="T75" s="69">
        <v>250000</v>
      </c>
    </row>
    <row r="76" spans="1:23" ht="15.6" x14ac:dyDescent="0.3">
      <c r="L76" s="49"/>
      <c r="M76" s="89"/>
      <c r="N76" s="90"/>
      <c r="O76" s="147"/>
      <c r="P76" s="91"/>
      <c r="Q76" s="60"/>
      <c r="R76" s="173"/>
      <c r="S76" s="173"/>
      <c r="T76" s="69"/>
      <c r="U76" s="100"/>
      <c r="V76" s="55"/>
    </row>
    <row r="77" spans="1:23" ht="15.6" x14ac:dyDescent="0.3">
      <c r="L77" s="49"/>
      <c r="M77" s="163" t="s">
        <v>61</v>
      </c>
      <c r="N77" s="164"/>
      <c r="O77" s="165"/>
      <c r="P77" s="166"/>
      <c r="Q77" s="167"/>
      <c r="R77" s="177"/>
      <c r="S77" s="177"/>
      <c r="T77" s="171"/>
      <c r="U77" s="172"/>
      <c r="V77" s="55"/>
    </row>
    <row r="78" spans="1:23" ht="15.6" x14ac:dyDescent="0.3">
      <c r="L78" s="49"/>
      <c r="M78" s="163" t="s">
        <v>62</v>
      </c>
      <c r="N78" s="164"/>
      <c r="O78" s="165"/>
      <c r="P78" s="166"/>
      <c r="Q78" s="167"/>
      <c r="R78" s="168"/>
      <c r="S78" s="168"/>
      <c r="T78" s="171"/>
      <c r="U78" s="172"/>
      <c r="V78" s="55"/>
    </row>
    <row r="79" spans="1:23" ht="16.2" thickBot="1" x14ac:dyDescent="0.35">
      <c r="L79" s="49"/>
      <c r="M79" s="99"/>
      <c r="N79" s="68"/>
      <c r="O79" s="147"/>
      <c r="P79" s="91"/>
      <c r="Q79" s="60"/>
      <c r="R79" s="60"/>
      <c r="S79" s="60"/>
      <c r="T79" s="69"/>
      <c r="U79" s="100"/>
      <c r="V79" s="55"/>
    </row>
    <row r="80" spans="1:23" ht="16.2" thickBot="1" x14ac:dyDescent="0.35">
      <c r="L80" s="49"/>
      <c r="M80" s="106" t="s">
        <v>11</v>
      </c>
      <c r="N80" s="107">
        <f>SUM(N78:N79)</f>
        <v>0</v>
      </c>
      <c r="O80" s="101"/>
      <c r="P80" s="103"/>
      <c r="Q80" s="102"/>
      <c r="R80" s="102"/>
      <c r="S80" s="102"/>
      <c r="T80" s="104"/>
      <c r="U80" s="105"/>
      <c r="V80" s="55"/>
    </row>
    <row r="81" spans="1:23" x14ac:dyDescent="0.3">
      <c r="M81"/>
      <c r="O81" s="5"/>
      <c r="Q81"/>
      <c r="S81"/>
      <c r="T81" s="6"/>
      <c r="V81" s="55"/>
    </row>
    <row r="82" spans="1:23" x14ac:dyDescent="0.3">
      <c r="O82"/>
      <c r="V82" s="55"/>
    </row>
    <row r="83" spans="13:22" x14ac:dyDescent="0.3">
      <c r="M83" s="23"/>
      <c r="N83" s="23"/>
      <c r="O83" s="23"/>
      <c r="P83" s="23"/>
      <c r="Q83" s="23"/>
      <c r="V83" s="55"/>
    </row>
    <row r="84" spans="13:22" x14ac:dyDescent="0.3">
      <c r="V84" s="55"/>
    </row>
    <row r="85" spans="13:22" x14ac:dyDescent="0.3">
      <c r="V85" s="55"/>
    </row>
    <row r="86" spans="13:22" x14ac:dyDescent="0.3">
      <c r="V86" s="55"/>
    </row>
    <row r="87" spans="13:22" x14ac:dyDescent="0.3"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13:22" x14ac:dyDescent="0.3">
      <c r="V97" s="55"/>
    </row>
    <row r="98" spans="13:22" x14ac:dyDescent="0.3">
      <c r="V98" s="55"/>
    </row>
    <row r="99" spans="22:22" x14ac:dyDescent="0.3">
      <c r="V99" s="55"/>
    </row>
    <row r="100" spans="22:22" x14ac:dyDescent="0.3">
      <c r="V100" s="55"/>
    </row>
    <row r="101" spans="22:22" x14ac:dyDescent="0.3">
      <c r="V101" s="55"/>
    </row>
    <row r="102" spans="22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  <row r="113" spans="22:22" x14ac:dyDescent="0.3">
      <c r="V113" s="55"/>
    </row>
    <row r="114" spans="22:22" x14ac:dyDescent="0.3">
      <c r="V114" s="55"/>
    </row>
  </sheetData>
  <mergeCells count="72"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  <mergeCell ref="M25:N25"/>
    <mergeCell ref="O25:P25"/>
    <mergeCell ref="Q25:S25"/>
    <mergeCell ref="O30:P30"/>
    <mergeCell ref="Q30:S30"/>
    <mergeCell ref="T30:U30"/>
    <mergeCell ref="Q32:S32"/>
    <mergeCell ref="D44:E44"/>
    <mergeCell ref="R35:S35"/>
    <mergeCell ref="T35:U35"/>
    <mergeCell ref="O33:P33"/>
    <mergeCell ref="Q33:S33"/>
    <mergeCell ref="M34:N34"/>
    <mergeCell ref="O34:P34"/>
    <mergeCell ref="Q34:S34"/>
    <mergeCell ref="M31:N31"/>
    <mergeCell ref="O31:P31"/>
    <mergeCell ref="Q31:S31"/>
    <mergeCell ref="M30:N30"/>
    <mergeCell ref="M32:N32"/>
    <mergeCell ref="M39:N39"/>
    <mergeCell ref="M35:O35"/>
    <mergeCell ref="D45:E45"/>
    <mergeCell ref="O32:P32"/>
    <mergeCell ref="P35:Q35"/>
    <mergeCell ref="T68:U68"/>
    <mergeCell ref="M70:U70"/>
    <mergeCell ref="R68:S68"/>
    <mergeCell ref="D69:E69"/>
    <mergeCell ref="D71:E71"/>
    <mergeCell ref="P68:Q68"/>
    <mergeCell ref="D70:E70"/>
    <mergeCell ref="M68:O68"/>
    <mergeCell ref="D61:E61"/>
    <mergeCell ref="D67:E67"/>
    <mergeCell ref="D54:E54"/>
    <mergeCell ref="D52:E52"/>
    <mergeCell ref="D66:E66"/>
    <mergeCell ref="D55:E55"/>
    <mergeCell ref="D65:E65"/>
    <mergeCell ref="D49:E49"/>
    <mergeCell ref="D50:E50"/>
    <mergeCell ref="D48:E48"/>
    <mergeCell ref="D46:E46"/>
    <mergeCell ref="D47:E47"/>
    <mergeCell ref="T78:U78"/>
    <mergeCell ref="R76:S76"/>
    <mergeCell ref="R77:S77"/>
    <mergeCell ref="R72:S72"/>
    <mergeCell ref="R74:S74"/>
    <mergeCell ref="R73:S73"/>
    <mergeCell ref="T77:U77"/>
    <mergeCell ref="M66:N66"/>
    <mergeCell ref="D72:E72"/>
    <mergeCell ref="D73:E73"/>
    <mergeCell ref="D53:E53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4"/>
  <sheetViews>
    <sheetView tabSelected="1" topLeftCell="A53" zoomScale="85" zoomScaleNormal="85" workbookViewId="0">
      <pane xSplit="1" topLeftCell="M1" activePane="topRight" state="frozenSplit"/>
      <selection activeCell="A49" sqref="A49"/>
      <selection pane="topRight" activeCell="W28" sqref="W28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inlineStr">
        <is>
          <t xml:space="preserve">BOB</t>
        </is>
      </c>
      <c r="C1" s="143"/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 t="inlineStr">
        <is>
          <t xml:space="preserve">AUX BOB</t>
        </is>
      </c>
      <c r="C2" s="143"/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inlineStr">
        <is>
          <t xml:space="preserve">222</t>
        </is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>
        <v>10</v>
      </c>
      <c r="C6"/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43.2" x14ac:dyDescent="0.3">
      <c r="A7" s="127" t="s">
        <v>2</v>
      </c>
      <c r="B7" s="155">
        <v>1000000</v>
      </c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/>
      <c r="C8" s="123"/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227">
        <v>450000</v>
      </c>
      <c r="C9" s="228"/>
      <c r="D9" s="229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227">
        <v>50000</v>
      </c>
      <c r="C10" s="228"/>
      <c r="D10" s="229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227">
        <v>300000</v>
      </c>
      <c r="C11" s="228"/>
      <c r="D11" s="229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227"/>
      <c r="C12" s="228"/>
      <c r="D12" s="229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227"/>
      <c r="C13" s="228"/>
      <c r="D13" s="229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227"/>
      <c r="C14" s="228"/>
      <c r="D14" s="229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227"/>
      <c r="C15" s="228"/>
      <c r="D15" s="229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227"/>
      <c r="C16" s="228"/>
      <c r="D16" s="229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227"/>
      <c r="C17" s="228"/>
      <c r="D17" s="229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214" t="s">
        <v>48</v>
      </c>
      <c r="N22" s="214"/>
      <c r="O22" s="214"/>
      <c r="P22" s="214"/>
      <c r="Q22" s="214"/>
      <c r="R22" s="214"/>
      <c r="S22" s="214"/>
      <c r="T22" s="214"/>
      <c r="U22" s="214"/>
    </row>
    <row r="23" spans="1:23" ht="16.2" thickBot="1" x14ac:dyDescent="0.35">
      <c r="D23" s="6"/>
      <c r="J23"/>
      <c r="L23"/>
      <c r="M23" s="14" t="s">
        <v>13</v>
      </c>
      <c r="N23" s="221" t="inlineStr">
        <is>
          <t xml:space="preserve">24/06/2026</t>
        </is>
      </c>
      <c r="O23" s="222"/>
      <c r="P23" s="222"/>
      <c r="Q23" s="222"/>
      <c r="R23" s="222"/>
      <c r="S23" s="223"/>
      <c r="T23" s="142" t="s">
        <v>38</v>
      </c>
      <c r="U23" s="115">
        <v>10</v>
      </c>
      <c r="W23" s="96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224" t="s">
        <v>49</v>
      </c>
      <c r="O24" s="225"/>
      <c r="P24" s="225"/>
      <c r="Q24" s="225"/>
      <c r="R24" s="225"/>
      <c r="S24" s="226"/>
      <c r="T24" s="117" t="s">
        <v>11</v>
      </c>
      <c r="U24" s="116">
        <v>1000000</v>
      </c>
      <c r="W24" s="141">
        <v>10</v>
      </c>
    </row>
    <row r="25" spans="1:23" x14ac:dyDescent="0.3">
      <c r="B25" s="2"/>
      <c r="C25" s="111"/>
      <c r="D25" s="3" t="s">
        <v>15</v>
      </c>
      <c r="E25" s="4"/>
      <c r="J25"/>
      <c r="L25"/>
      <c r="M25" s="209" t="s">
        <v>16</v>
      </c>
      <c r="N25" s="210"/>
      <c r="O25" s="211"/>
      <c r="P25" s="212"/>
      <c r="Q25" s="174">
        <v>450000</v>
      </c>
      <c r="R25" s="175"/>
      <c r="S25" s="176"/>
      <c r="T25" s="207" t="s">
        <v>17</v>
      </c>
      <c r="U25" s="208"/>
      <c r="V25" s="13"/>
      <c r="W25" s="86" t="s">
        <v>45</v>
      </c>
    </row>
    <row r="26" spans="1:23" x14ac:dyDescent="0.3">
      <c r="E26" s="4"/>
      <c r="J26"/>
      <c r="L26"/>
      <c r="M26" s="83" t="s">
        <v>53</v>
      </c>
      <c r="N26" s="84"/>
      <c r="O26" s="151"/>
      <c r="P26" s="152"/>
      <c r="Q26" s="174">
        <v>50000</v>
      </c>
      <c r="R26" s="175"/>
      <c r="S26" s="176"/>
      <c r="T26" s="149"/>
      <c r="U26" s="150"/>
      <c r="V26" s="13"/>
      <c r="W26" s="86"/>
    </row>
    <row r="27" spans="1:23" x14ac:dyDescent="0.3">
      <c r="I27" s="118" t="str">
        <f>B1</f>
      </c>
      <c r="J27" s="162" t="str">
        <f>B9</f>
      </c>
      <c r="L27"/>
      <c r="M27" s="83" t="s">
        <v>18</v>
      </c>
      <c r="N27" s="84"/>
      <c r="O27" s="199"/>
      <c r="P27" s="200"/>
      <c r="Q27" s="174">
        <v>300000</v>
      </c>
      <c r="R27" s="175"/>
      <c r="S27" s="176"/>
      <c r="T27" s="219" t="s">
        <v>19</v>
      </c>
      <c r="U27" s="220"/>
      <c r="V27" s="19"/>
      <c r="W27" s="97">
        <v>1000000</v>
      </c>
    </row>
    <row r="28" spans="1:23" x14ac:dyDescent="0.3">
      <c r="I28" s="118">
        <f>C1</f>
        <v>0</v>
      </c>
      <c r="J28" s="162">
        <f>C9</f>
        <v>0</v>
      </c>
      <c r="L28"/>
      <c r="M28" s="194" t="s">
        <v>20</v>
      </c>
      <c r="N28" s="195"/>
      <c r="O28" s="199"/>
      <c r="P28" s="200"/>
      <c r="Q28" s="174"/>
      <c r="R28" s="175"/>
      <c r="S28" s="176"/>
      <c r="T28" s="217" t="s">
        <v>39</v>
      </c>
      <c r="U28" s="218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194" t="s">
        <v>21</v>
      </c>
      <c r="N29" s="195"/>
      <c r="O29" s="199"/>
      <c r="P29" s="200"/>
      <c r="Q29" s="174"/>
      <c r="R29" s="175"/>
      <c r="S29" s="176"/>
      <c r="T29" s="215" t="s">
        <v>40</v>
      </c>
      <c r="U29" s="216"/>
      <c r="W29" s="98" t="str">
        <f>U23</f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194" t="s">
        <v>22</v>
      </c>
      <c r="N30" s="195"/>
      <c r="O30" s="199"/>
      <c r="P30" s="213"/>
      <c r="Q30" s="174"/>
      <c r="R30" s="175"/>
      <c r="S30" s="176"/>
      <c r="T30" s="201" t="s">
        <v>41</v>
      </c>
      <c r="U30" s="202"/>
      <c r="V30" s="24"/>
      <c r="W30" s="21" t="str">
        <f>Q34</f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194" t="s">
        <v>23</v>
      </c>
      <c r="N31" s="195"/>
      <c r="O31" s="199"/>
      <c r="P31" s="200"/>
      <c r="Q31" s="174"/>
      <c r="R31" s="175"/>
      <c r="S31" s="176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194" t="s">
        <v>24</v>
      </c>
      <c r="N32" s="195"/>
      <c r="O32" s="199"/>
      <c r="P32" s="200"/>
      <c r="Q32" s="174"/>
      <c r="R32" s="175"/>
      <c r="S32" s="176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199"/>
      <c r="P33" s="200"/>
      <c r="Q33" s="174"/>
      <c r="R33" s="175"/>
      <c r="S33" s="176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203" t="s">
        <v>26</v>
      </c>
      <c r="N34" s="204"/>
      <c r="O34" s="205"/>
      <c r="P34" s="206"/>
      <c r="Q34" s="174">
        <v>1000000</v>
      </c>
      <c r="R34" s="175"/>
      <c r="S34" s="176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196" t="s">
        <v>27</v>
      </c>
      <c r="N35" s="197"/>
      <c r="O35" s="198"/>
      <c r="P35" s="189" t="s">
        <v>28</v>
      </c>
      <c r="Q35" s="193"/>
      <c r="R35" s="189" t="s">
        <v>29</v>
      </c>
      <c r="S35" s="193"/>
      <c r="T35" s="189" t="s">
        <v>30</v>
      </c>
      <c r="U35" s="193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SUM(O42)</f>
        <v>0</v>
      </c>
      <c r="L37"/>
      <c r="M37" s="37" t="inlineStr">
        <is>
          <t xml:space="preserve">01/01/2026</t>
        </is>
      </c>
      <c r="N37" s="38" t="inlineStr">
        <is>
          <t xml:space="preserve">SANTANDER</t>
        </is>
      </c>
      <c r="O37" s="39">
        <v>100000</v>
      </c>
      <c r="P37" s="40"/>
      <c r="Q37" s="81"/>
      <c r="R37" s="41"/>
      <c r="S37" s="82"/>
      <c r="T37" s="42"/>
      <c r="U37" s="78"/>
      <c r="V37" s="1"/>
      <c r="W37" s="18" t="s">
        <v>14</v>
      </c>
    </row>
    <row r="38" spans="1:23" x14ac:dyDescent="0.3">
      <c r="M38" s="37" t="inlineStr">
        <is>
          <t xml:space="preserve">02/01/2026</t>
        </is>
      </c>
      <c r="N38" s="38" t="inlineStr">
        <is>
          <t xml:space="preserve">BCI</t>
        </is>
      </c>
      <c r="O38" s="39">
        <v>200000</v>
      </c>
      <c r="P38" s="42"/>
      <c r="Q38" s="72"/>
      <c r="R38" s="44"/>
      <c r="S38" s="77"/>
      <c r="T38" s="42"/>
      <c r="U38" s="72"/>
    </row>
    <row r="39" spans="1:23" ht="15" thickBot="1" x14ac:dyDescent="0.35">
      <c r="B39" s="20"/>
      <c r="C39" s="32"/>
      <c r="I39" s="134"/>
      <c r="J39"/>
      <c r="L39" s="114">
        <v>2</v>
      </c>
      <c r="M39" s="179" t="s">
        <v>42</v>
      </c>
      <c r="N39" s="180"/>
      <c r="O39" s="46">
        <v>300000</v>
      </c>
      <c r="P39" s="42"/>
      <c r="Q39" s="79"/>
      <c r="R39" s="44"/>
      <c r="S39" s="77"/>
      <c r="T39" s="42"/>
      <c r="U39" s="80"/>
      <c r="V39" s="1"/>
      <c r="W39" s="1"/>
    </row>
    <row r="40" spans="1:23" x14ac:dyDescent="0.3">
      <c r="B40" s="20"/>
      <c r="C40" s="32"/>
      <c r="I40" s="134"/>
      <c r="J40"/>
      <c r="K40" s="24" t="e">
        <f>Q27+Q28</f>
        <v>#VALUE!</v>
      </c>
      <c r="L40" s="114">
        <v>3</v>
      </c>
      <c r="M40" s="37"/>
      <c r="N40" s="38"/>
      <c r="O40" s="39"/>
      <c r="P40" s="42"/>
      <c r="Q40" s="72"/>
      <c r="R40" s="44"/>
      <c r="S40" s="77"/>
      <c r="T40" s="42"/>
      <c r="U40" s="72"/>
      <c r="V40" s="1"/>
      <c r="W40" s="1"/>
    </row>
    <row r="41" spans="1:23" ht="16.5" customHeight="1" x14ac:dyDescent="0.4">
      <c r="B41" s="20"/>
      <c r="C41" s="32"/>
      <c r="D41" s="48"/>
      <c r="E41" s="47"/>
      <c r="I41" s="134"/>
      <c r="J41"/>
      <c r="K41" s="24"/>
      <c r="L41" s="114">
        <v>4</v>
      </c>
      <c r="M41" s="37"/>
      <c r="N41" s="38"/>
      <c r="O41" s="39"/>
      <c r="P41" s="42"/>
      <c r="Q41" s="70"/>
      <c r="R41" s="44"/>
      <c r="S41" s="78"/>
      <c r="T41" s="42"/>
      <c r="U41" s="72"/>
      <c r="V41" s="1"/>
      <c r="W41" s="1"/>
    </row>
    <row r="42" spans="1:23" ht="15" customHeight="1" x14ac:dyDescent="0.3">
      <c r="B42" s="20"/>
      <c r="C42" s="32"/>
      <c r="D42" s="23"/>
      <c r="E42" s="23"/>
      <c r="I42" s="133"/>
      <c r="J42"/>
      <c r="K42" s="24"/>
      <c r="L42" s="114">
        <v>5</v>
      </c>
      <c r="M42" s="37"/>
      <c r="N42" s="38"/>
      <c r="O42" s="39"/>
      <c r="P42" s="42"/>
      <c r="Q42" s="70"/>
      <c r="R42" s="44"/>
      <c r="S42" s="78"/>
      <c r="T42" s="42"/>
      <c r="U42" s="72"/>
      <c r="V42" s="1"/>
      <c r="W42" s="1"/>
    </row>
    <row r="43" spans="1:23" ht="15" customHeight="1" x14ac:dyDescent="0.6">
      <c r="B43" s="20"/>
      <c r="C43" s="25"/>
      <c r="D43" s="23"/>
      <c r="E43" s="23"/>
      <c r="F43" s="51"/>
      <c r="I43" s="135"/>
      <c r="J43" s="57"/>
      <c r="L43" s="114">
        <v>6</v>
      </c>
      <c r="M43" s="37"/>
      <c r="N43" s="38"/>
      <c r="O43" s="39"/>
      <c r="P43" s="42"/>
      <c r="Q43" s="70"/>
      <c r="R43" s="44"/>
      <c r="S43" s="77"/>
      <c r="T43" s="42"/>
      <c r="U43" s="72"/>
      <c r="V43" s="1"/>
      <c r="W43" s="1"/>
    </row>
    <row r="44" spans="1:23" ht="15.75" customHeight="1" x14ac:dyDescent="0.6">
      <c r="A44" s="112"/>
      <c r="B44" s="20"/>
      <c r="C44" s="32"/>
      <c r="D44" s="183"/>
      <c r="E44" s="183"/>
      <c r="F44" s="51"/>
      <c r="G44" s="8"/>
      <c r="I44" s="136"/>
      <c r="J44" s="57"/>
      <c r="K44" s="24" t="e">
        <f>O39+O66</f>
        <v>#VALUE!</v>
      </c>
      <c r="L44" s="114">
        <v>7</v>
      </c>
      <c r="M44" s="37"/>
      <c r="N44" s="38"/>
      <c r="O44" s="39"/>
      <c r="P44" s="42"/>
      <c r="Q44" s="70"/>
      <c r="R44" s="42"/>
      <c r="S44" s="71"/>
      <c r="T44" s="42"/>
      <c r="U44" s="72"/>
    </row>
    <row r="45" spans="1:23" ht="15" customHeight="1" x14ac:dyDescent="0.3">
      <c r="A45" s="25"/>
      <c r="B45" s="20"/>
      <c r="C45" s="25"/>
      <c r="D45" s="183"/>
      <c r="E45" s="183"/>
      <c r="F45" s="52"/>
      <c r="H45" s="68"/>
      <c r="I45" s="13"/>
      <c r="J45" s="57"/>
      <c r="K45" s="24"/>
      <c r="L45" s="114">
        <v>8</v>
      </c>
      <c r="M45" s="37"/>
      <c r="N45" s="38"/>
      <c r="O45" s="39"/>
      <c r="P45" s="42"/>
      <c r="Q45" s="70"/>
      <c r="R45" s="42"/>
      <c r="S45" s="71"/>
      <c r="T45" s="42"/>
      <c r="U45" s="72"/>
    </row>
    <row r="46" spans="1:23" x14ac:dyDescent="0.3">
      <c r="A46" s="25"/>
      <c r="B46" s="25"/>
      <c r="C46" s="43"/>
      <c r="D46" s="183"/>
      <c r="E46" s="183"/>
      <c r="F46" s="23"/>
      <c r="H46" s="68"/>
      <c r="I46" s="13"/>
      <c r="J46" s="57"/>
      <c r="L46" s="114">
        <v>9</v>
      </c>
      <c r="M46" s="37"/>
      <c r="N46" s="38"/>
      <c r="O46" s="39"/>
      <c r="P46" s="42"/>
      <c r="Q46" s="70"/>
      <c r="R46" s="42"/>
      <c r="S46" s="76"/>
      <c r="T46" s="42"/>
      <c r="U46" s="72"/>
    </row>
    <row r="47" spans="1:23" x14ac:dyDescent="0.3">
      <c r="A47" s="20"/>
      <c r="B47" s="20"/>
      <c r="C47" s="43"/>
      <c r="D47" s="183"/>
      <c r="E47" s="183"/>
      <c r="F47" s="53"/>
      <c r="H47" s="68"/>
      <c r="I47" s="13"/>
      <c r="J47" s="57"/>
      <c r="L47" s="114">
        <v>10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0"/>
      <c r="B48" s="20"/>
      <c r="C48" s="43"/>
      <c r="D48" s="183"/>
      <c r="E48" s="183"/>
      <c r="F48" s="17"/>
      <c r="G48" s="1"/>
      <c r="H48" s="68"/>
      <c r="I48" s="13"/>
      <c r="J48" s="57"/>
      <c r="K48" s="24" t="e">
        <f>Q34-U24</f>
        <v>#VALUE!</v>
      </c>
      <c r="L48" s="114">
        <v>11</v>
      </c>
      <c r="M48" s="37"/>
      <c r="N48" s="38"/>
      <c r="O48" s="39"/>
      <c r="P48" s="42"/>
      <c r="Q48" s="70"/>
      <c r="R48" s="42"/>
      <c r="S48" s="71"/>
      <c r="T48" s="42"/>
      <c r="U48" s="72"/>
    </row>
    <row r="49" spans="1:23" x14ac:dyDescent="0.3">
      <c r="A49" s="20"/>
      <c r="B49" s="20"/>
      <c r="C49" s="43"/>
      <c r="D49" s="183"/>
      <c r="E49" s="183"/>
      <c r="F49" s="23"/>
      <c r="G49" s="1"/>
      <c r="H49" s="68"/>
      <c r="I49" s="13"/>
      <c r="J49" s="57"/>
      <c r="L49" s="114">
        <v>12</v>
      </c>
      <c r="M49" s="37"/>
      <c r="N49" s="38"/>
      <c r="O49" s="39"/>
      <c r="P49" s="42"/>
      <c r="Q49" s="70"/>
      <c r="R49" s="42"/>
      <c r="S49" s="71"/>
      <c r="T49" s="44"/>
      <c r="U49" s="72"/>
    </row>
    <row r="50" spans="1:21" x14ac:dyDescent="0.3">
      <c r="A50" s="20"/>
      <c r="B50" s="20"/>
      <c r="C50" s="43"/>
      <c r="D50" s="183"/>
      <c r="E50" s="183"/>
      <c r="F50" s="23"/>
      <c r="G50" s="1"/>
      <c r="H50" s="50"/>
      <c r="I50" s="13"/>
      <c r="J50" s="57"/>
      <c r="L50" s="114">
        <v>13</v>
      </c>
      <c r="M50" s="37"/>
      <c r="N50" s="38"/>
      <c r="O50" s="39"/>
      <c r="P50" s="42"/>
      <c r="Q50" s="70"/>
      <c r="R50" s="42"/>
      <c r="S50" s="71"/>
      <c r="T50" s="44"/>
      <c r="U50" s="72"/>
    </row>
    <row r="51" spans="1:21" x14ac:dyDescent="0.3">
      <c r="A51" s="20"/>
      <c r="B51" s="20"/>
      <c r="C51" s="43"/>
      <c r="D51" s="23"/>
      <c r="E51" s="25"/>
      <c r="F51" s="23"/>
      <c r="G51" s="1"/>
      <c r="H51" s="50"/>
      <c r="I51" s="13"/>
      <c r="J51" s="57"/>
      <c r="L51" s="114">
        <v>14</v>
      </c>
      <c r="M51" s="37"/>
      <c r="N51" s="38"/>
      <c r="O51" s="39"/>
      <c r="P51" s="42"/>
      <c r="Q51" s="70"/>
      <c r="R51" s="42"/>
      <c r="S51" s="71"/>
      <c r="T51" s="44"/>
      <c r="U51" s="72"/>
    </row>
    <row r="52" spans="1:21" x14ac:dyDescent="0.3">
      <c r="A52" s="20"/>
      <c r="B52" s="20"/>
      <c r="C52" s="43"/>
      <c r="D52" s="184"/>
      <c r="E52" s="184"/>
      <c r="F52" s="23"/>
      <c r="G52" s="1"/>
      <c r="H52" s="50"/>
      <c r="I52" s="13"/>
      <c r="J52" s="57"/>
      <c r="L52" s="114">
        <v>15</v>
      </c>
      <c r="M52" s="37"/>
      <c r="N52" s="38"/>
      <c r="O52" s="39"/>
      <c r="P52" s="40"/>
      <c r="Q52" s="70"/>
      <c r="R52" s="42"/>
      <c r="S52" s="71"/>
      <c r="T52" s="44"/>
      <c r="U52" s="72"/>
    </row>
    <row r="53" spans="1:21" x14ac:dyDescent="0.3">
      <c r="A53" s="20"/>
      <c r="B53" s="55"/>
      <c r="C53" s="43"/>
      <c r="D53" s="182"/>
      <c r="E53" s="182"/>
      <c r="F53" s="23"/>
      <c r="G53" s="1"/>
      <c r="H53" s="50"/>
      <c r="I53" s="54"/>
      <c r="J53" s="57"/>
      <c r="L53" s="114">
        <v>16</v>
      </c>
      <c r="M53" s="37"/>
      <c r="N53" s="38"/>
      <c r="O53" s="39"/>
      <c r="P53" s="40"/>
      <c r="Q53" s="70"/>
      <c r="R53" s="42"/>
      <c r="S53" s="71"/>
      <c r="T53" s="44"/>
      <c r="U53" s="72"/>
    </row>
    <row r="54" spans="1:21" x14ac:dyDescent="0.3">
      <c r="A54" s="25"/>
      <c r="B54" s="55"/>
      <c r="C54" s="43"/>
      <c r="D54" s="181"/>
      <c r="E54" s="181"/>
      <c r="F54" s="23"/>
      <c r="G54" s="1"/>
      <c r="H54" s="50"/>
      <c r="I54" s="54"/>
      <c r="J54" s="57"/>
      <c r="L54" s="18"/>
      <c r="M54" s="37"/>
      <c r="N54" s="38"/>
      <c r="O54" s="39"/>
      <c r="P54" s="42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181"/>
      <c r="E55" s="181"/>
      <c r="F55" s="23"/>
      <c r="G55" s="1"/>
      <c r="H55" s="50"/>
      <c r="I55" s="54"/>
      <c r="J55" s="57"/>
      <c r="L55" s="18"/>
      <c r="M55" s="37"/>
      <c r="N55" s="38"/>
      <c r="O55" s="39"/>
      <c r="P55" s="42"/>
      <c r="Q55" s="70"/>
      <c r="R55" s="42"/>
      <c r="S55" s="71"/>
      <c r="T55" s="44"/>
      <c r="U55" s="72"/>
    </row>
    <row r="56" spans="1:21" x14ac:dyDescent="0.3">
      <c r="A56" s="20"/>
      <c r="B56" s="55"/>
      <c r="C56" s="43"/>
      <c r="D56" s="22"/>
      <c r="E56" s="22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/>
      <c r="C57" s="43"/>
      <c r="D57" s="22"/>
      <c r="E57" s="22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0"/>
      <c r="B60"/>
      <c r="C60" s="43"/>
      <c r="D60" s="22"/>
      <c r="E60" s="22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5"/>
      <c r="B61"/>
      <c r="C61" s="43"/>
      <c r="D61" s="181"/>
      <c r="E61" s="181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70"/>
      <c r="R61" s="42"/>
      <c r="S61" s="71"/>
      <c r="T61" s="44"/>
      <c r="U61" s="72"/>
    </row>
    <row r="62" spans="1:21" x14ac:dyDescent="0.3">
      <c r="A62" s="25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161"/>
      <c r="R62" s="93"/>
      <c r="S62" s="92"/>
      <c r="T62" s="44"/>
      <c r="U62" s="72"/>
    </row>
    <row r="63" spans="1:21" x14ac:dyDescent="0.3">
      <c r="A63" s="25"/>
      <c r="B63"/>
      <c r="C63" s="43"/>
      <c r="D63" s="22"/>
      <c r="E63" s="22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161"/>
      <c r="R63" s="93"/>
      <c r="S63" s="92"/>
      <c r="T63" s="44"/>
      <c r="U63" s="72"/>
    </row>
    <row r="64" spans="1:21" x14ac:dyDescent="0.3">
      <c r="A64" s="25"/>
      <c r="B64"/>
      <c r="C64" s="43"/>
      <c r="D64" s="22"/>
      <c r="E64" s="22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161"/>
      <c r="R64" s="93"/>
      <c r="S64" s="92"/>
      <c r="T64" s="44"/>
      <c r="U64" s="72"/>
    </row>
    <row r="65" spans="1:21" ht="15" thickBot="1" x14ac:dyDescent="0.35">
      <c r="A65" s="25"/>
      <c r="B65"/>
      <c r="C65" s="43"/>
      <c r="D65" s="181"/>
      <c r="E65" s="181"/>
      <c r="F65" s="23"/>
      <c r="G65" s="1"/>
      <c r="H65" s="50"/>
      <c r="I65" s="54"/>
      <c r="J65" s="57"/>
      <c r="L65" s="18"/>
      <c r="M65" s="37"/>
      <c r="N65" s="38"/>
      <c r="O65" s="39"/>
      <c r="P65" s="42"/>
      <c r="Q65" s="88"/>
      <c r="R65" s="93"/>
      <c r="S65" s="92"/>
      <c r="T65" s="44"/>
      <c r="U65" s="75"/>
    </row>
    <row r="66" spans="1:23" ht="16.5" customHeight="1" thickBot="1" x14ac:dyDescent="0.35">
      <c r="A66" s="25"/>
      <c r="B66"/>
      <c r="C66" s="43"/>
      <c r="D66" s="181"/>
      <c r="E66" s="181"/>
      <c r="F66" s="20"/>
      <c r="G66" s="1"/>
      <c r="H66" s="50"/>
      <c r="I66" s="54"/>
      <c r="J66" s="57"/>
      <c r="L66"/>
      <c r="M66" s="179" t="s">
        <v>34</v>
      </c>
      <c r="N66" s="180"/>
      <c r="O66" s="46"/>
      <c r="P66" s="56" t="s">
        <v>11</v>
      </c>
      <c r="Q66" s="46"/>
      <c r="R66" s="56" t="s">
        <v>11</v>
      </c>
      <c r="S66" s="46"/>
      <c r="T66" s="56" t="s">
        <v>11</v>
      </c>
      <c r="U66" s="46"/>
    </row>
    <row r="67" spans="1:23" ht="15" thickBot="1" x14ac:dyDescent="0.35">
      <c r="A67" s="25"/>
      <c r="B67"/>
      <c r="C67" s="95"/>
      <c r="D67" s="181"/>
      <c r="E67" s="181"/>
      <c r="F67" s="23"/>
      <c r="G67" s="1"/>
      <c r="H67" s="50"/>
      <c r="I67" s="54"/>
      <c r="J67"/>
      <c r="L67"/>
      <c r="M67" s="58"/>
      <c r="N67" s="59"/>
      <c r="O67" s="74"/>
      <c r="P67" s="23"/>
      <c r="Q67" s="73"/>
      <c r="R67" s="74"/>
      <c r="S67" s="74"/>
      <c r="T67" s="6"/>
    </row>
    <row r="68" spans="1:23" ht="16.2" thickBot="1" x14ac:dyDescent="0.35">
      <c r="A68" s="25"/>
      <c r="B68"/>
      <c r="C68" s="25"/>
      <c r="D68" s="22"/>
      <c r="E68" s="22"/>
      <c r="F68" s="23"/>
      <c r="G68" s="1"/>
      <c r="H68" s="50"/>
      <c r="I68" s="54"/>
      <c r="J68"/>
      <c r="L68"/>
      <c r="M68" s="189" t="s">
        <v>47</v>
      </c>
      <c r="N68" s="190"/>
      <c r="O68" s="193"/>
      <c r="P68" s="191"/>
      <c r="Q68" s="192"/>
      <c r="R68" s="189" t="s">
        <v>37</v>
      </c>
      <c r="S68" s="190"/>
      <c r="T68" s="185" t="str">
        <f>Q25</f>
      </c>
      <c r="U68" s="186"/>
    </row>
    <row r="69" spans="1:23" ht="15.75" customHeight="1" thickBot="1" x14ac:dyDescent="0.35">
      <c r="A69" s="25"/>
      <c r="B69"/>
      <c r="C69" s="25"/>
      <c r="D69" s="181"/>
      <c r="E69" s="181"/>
      <c r="F69" s="67"/>
      <c r="G69" s="1"/>
      <c r="H69" s="50"/>
      <c r="I69" s="54"/>
      <c r="J69"/>
      <c r="L69"/>
      <c r="M69" s="60"/>
      <c r="N69" s="87"/>
      <c r="O69" s="87"/>
      <c r="P69" s="61"/>
      <c r="Q69" s="62"/>
      <c r="R69" s="62"/>
      <c r="S69" s="62"/>
      <c r="T69" s="60"/>
      <c r="U69" s="60"/>
    </row>
    <row r="70" spans="1:23" ht="15.75" customHeight="1" thickBot="1" x14ac:dyDescent="0.35">
      <c r="A70" s="25"/>
      <c r="B70" s="95"/>
      <c r="C70" s="25"/>
      <c r="D70" s="181"/>
      <c r="E70" s="181"/>
      <c r="F70" s="67"/>
      <c r="G70" s="1"/>
      <c r="H70" s="50"/>
      <c r="I70" s="54"/>
      <c r="J70"/>
      <c r="L70"/>
      <c r="M70" s="179" t="s">
        <v>35</v>
      </c>
      <c r="N70" s="187"/>
      <c r="O70" s="187"/>
      <c r="P70" s="187"/>
      <c r="Q70" s="187"/>
      <c r="R70" s="187"/>
      <c r="S70" s="187"/>
      <c r="T70" s="187"/>
      <c r="U70" s="188"/>
      <c r="V70" s="55"/>
    </row>
    <row r="71" spans="1:23" ht="15" thickBot="1" x14ac:dyDescent="0.35">
      <c r="A71" s="25"/>
      <c r="B71" s="20"/>
      <c r="C71" s="25"/>
      <c r="D71" s="181"/>
      <c r="E71" s="181"/>
      <c r="F71" s="67"/>
      <c r="G71" s="1"/>
      <c r="H71" s="50"/>
      <c r="I71" s="54"/>
      <c r="J71"/>
      <c r="L71" s="53" t="s">
        <v>59</v>
      </c>
      <c r="M71" s="156" t="s">
        <v>55</v>
      </c>
      <c r="N71" s="157"/>
      <c r="O71" s="157"/>
      <c r="P71" s="157" t="s">
        <v>56</v>
      </c>
      <c r="Q71" s="157"/>
      <c r="R71" s="157"/>
      <c r="S71" s="157"/>
      <c r="T71" s="157" t="s">
        <v>57</v>
      </c>
      <c r="U71" s="158" t="s">
        <v>60</v>
      </c>
      <c r="V71" s="170" t="s">
        <v>58</v>
      </c>
      <c r="W71" s="170" t="s">
        <v>50</v>
      </c>
    </row>
    <row r="72" spans="1:23" ht="15.6" x14ac:dyDescent="0.3">
      <c r="A72" s="25"/>
      <c r="B72" s="130"/>
      <c r="C72" s="25"/>
      <c r="D72" s="181"/>
      <c r="E72" s="181"/>
      <c r="F72" s="67"/>
      <c r="G72" s="1"/>
      <c r="H72" s="50"/>
      <c r="I72" s="54"/>
      <c r="J72" s="23"/>
      <c r="L72"/>
      <c r="M72" s="63"/>
      <c r="N72" s="64"/>
      <c r="O72" s="169" t="s">
        <v>43</v>
      </c>
      <c r="P72" s="66"/>
      <c r="Q72" s="65"/>
      <c r="R72" s="178" t="s">
        <v>6</v>
      </c>
      <c r="S72" s="178"/>
      <c r="T72" s="159"/>
      <c r="U72" s="160"/>
      <c r="V72" s="55"/>
    </row>
    <row r="73" spans="1:23" ht="15.6" x14ac:dyDescent="0.3">
      <c r="B73" s="55"/>
      <c r="C73" s="94"/>
      <c r="D73" s="181"/>
      <c r="E73" s="181"/>
      <c r="F73" s="67"/>
      <c r="I73" s="130"/>
      <c r="L73"/>
      <c r="M73" s="89"/>
      <c r="N73" s="90"/>
      <c r="O73" s="18"/>
      <c r="P73" s="91"/>
      <c r="Q73" s="60"/>
      <c r="R73" s="173"/>
      <c r="S73" s="173"/>
      <c r="T73" s="69"/>
      <c r="U73" s="100"/>
      <c r="V73" s="55"/>
    </row>
    <row r="74" spans="1:23" ht="15.6" x14ac:dyDescent="0.3">
      <c r="A74" s="53"/>
      <c r="B74" s="94"/>
      <c r="C74" s="94"/>
      <c r="D74" s="23"/>
      <c r="E74" s="25"/>
      <c r="F74" s="67"/>
      <c r="I74" s="130"/>
      <c r="L74" s="49" t="inlineStr">
        <is>
          <t xml:space="preserve">222</t>
        </is>
      </c>
      <c r="M74" s="89" t="inlineStr">
        <is>
          <t xml:space="preserve">CLIENTE UNO</t>
        </is>
      </c>
      <c r="N74" s="90"/>
      <c r="O74" s="18" t="s">
        <v>43</v>
      </c>
      <c r="P74" s="91" t="inlineStr">
        <is>
          <t xml:space="preserve">F001</t>
        </is>
      </c>
      <c r="Q74" s="60"/>
      <c r="R74" s="173" t="s">
        <v>10</v>
      </c>
      <c r="S74" s="173"/>
      <c r="T74" s="69">
        <v>150000</v>
      </c>
      <c r="U74" s="100" t="inlineStr">
        <is>
          <t xml:space="preserve">SANTANDER</t>
        </is>
      </c>
      <c r="V74" s="55"/>
    </row>
    <row r="75" spans="1:23" x14ac:dyDescent="0.3">
      <c r="L75" s="49"/>
      <c r="M75" s="89" t="inlineStr">
        <is>
          <t xml:space="preserve">CLIENTE DOS</t>
        </is>
      </c>
      <c r="O75" s="89" t="inlineStr">
        <is>
          <t xml:space="preserve">BCI</t>
        </is>
      </c>
      <c r="P75" s="91" t="inlineStr">
        <is>
          <t xml:space="preserve">F002</t>
        </is>
      </c>
      <c r="T75" s="69">
        <v>250000</v>
      </c>
    </row>
    <row r="76" spans="1:23" ht="15.6" x14ac:dyDescent="0.3">
      <c r="L76" s="49"/>
      <c r="M76" s="89"/>
      <c r="N76" s="90"/>
      <c r="O76" s="147"/>
      <c r="P76" s="91"/>
      <c r="Q76" s="60"/>
      <c r="R76" s="173"/>
      <c r="S76" s="173"/>
      <c r="T76" s="69"/>
      <c r="U76" s="100"/>
      <c r="V76" s="55"/>
    </row>
    <row r="77" spans="1:23" ht="15.6" x14ac:dyDescent="0.3">
      <c r="L77" s="49"/>
      <c r="M77" s="163" t="s">
        <v>61</v>
      </c>
      <c r="N77" s="164"/>
      <c r="O77" s="165"/>
      <c r="P77" s="166"/>
      <c r="Q77" s="167"/>
      <c r="R77" s="177"/>
      <c r="S77" s="177"/>
      <c r="T77" s="171"/>
      <c r="U77" s="172"/>
      <c r="V77" s="55"/>
    </row>
    <row r="78" spans="1:23" ht="15.6" x14ac:dyDescent="0.3">
      <c r="L78" s="49"/>
      <c r="M78" s="163" t="s">
        <v>62</v>
      </c>
      <c r="N78" s="164"/>
      <c r="O78" s="165"/>
      <c r="P78" s="166"/>
      <c r="Q78" s="167"/>
      <c r="R78" s="168"/>
      <c r="S78" s="168"/>
      <c r="T78" s="171"/>
      <c r="U78" s="172"/>
      <c r="V78" s="55"/>
    </row>
    <row r="79" spans="1:23" ht="16.2" thickBot="1" x14ac:dyDescent="0.35">
      <c r="L79" s="49"/>
      <c r="M79" s="99"/>
      <c r="N79" s="68"/>
      <c r="O79" s="147"/>
      <c r="P79" s="91"/>
      <c r="Q79" s="60"/>
      <c r="R79" s="60"/>
      <c r="S79" s="60"/>
      <c r="T79" s="69"/>
      <c r="U79" s="100"/>
      <c r="V79" s="55"/>
    </row>
    <row r="80" spans="1:23" ht="16.2" thickBot="1" x14ac:dyDescent="0.35">
      <c r="L80" s="49"/>
      <c r="M80" s="106" t="s">
        <v>11</v>
      </c>
      <c r="N80" s="107">
        <f>SUM(N78:N79)</f>
        <v>0</v>
      </c>
      <c r="O80" s="101"/>
      <c r="P80" s="103"/>
      <c r="Q80" s="102"/>
      <c r="R80" s="102"/>
      <c r="S80" s="102"/>
      <c r="T80" s="104"/>
      <c r="U80" s="105"/>
      <c r="V80" s="55"/>
    </row>
    <row r="81" spans="1:23" x14ac:dyDescent="0.3">
      <c r="M81"/>
      <c r="O81" s="5"/>
      <c r="Q81"/>
      <c r="S81"/>
      <c r="T81" s="6"/>
      <c r="V81" s="55"/>
    </row>
    <row r="82" spans="1:23" x14ac:dyDescent="0.3">
      <c r="O82"/>
      <c r="V82" s="55"/>
    </row>
    <row r="83" spans="13:22" x14ac:dyDescent="0.3">
      <c r="M83" s="23"/>
      <c r="N83" s="23"/>
      <c r="O83" s="23"/>
      <c r="P83" s="23"/>
      <c r="Q83" s="23"/>
      <c r="V83" s="55"/>
    </row>
    <row r="84" spans="13:22" x14ac:dyDescent="0.3">
      <c r="V84" s="55"/>
    </row>
    <row r="85" spans="13:22" x14ac:dyDescent="0.3">
      <c r="V85" s="55"/>
    </row>
    <row r="86" spans="13:22" x14ac:dyDescent="0.3">
      <c r="V86" s="55"/>
    </row>
    <row r="87" spans="13:22" x14ac:dyDescent="0.3"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13:22" x14ac:dyDescent="0.3">
      <c r="V97" s="55"/>
    </row>
    <row r="98" spans="13:22" x14ac:dyDescent="0.3">
      <c r="V98" s="55"/>
    </row>
    <row r="99" spans="22:22" x14ac:dyDescent="0.3">
      <c r="V99" s="55"/>
    </row>
    <row r="100" spans="22:22" x14ac:dyDescent="0.3">
      <c r="V100" s="55"/>
    </row>
    <row r="101" spans="22:22" x14ac:dyDescent="0.3">
      <c r="V101" s="55"/>
    </row>
    <row r="102" spans="22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  <row r="113" spans="22:22" x14ac:dyDescent="0.3">
      <c r="V113" s="55"/>
    </row>
    <row r="114" spans="22:22" x14ac:dyDescent="0.3">
      <c r="V114" s="55"/>
    </row>
  </sheetData>
  <mergeCells count="72"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  <mergeCell ref="M25:N25"/>
    <mergeCell ref="O25:P25"/>
    <mergeCell ref="Q25:S25"/>
    <mergeCell ref="O30:P30"/>
    <mergeCell ref="Q30:S30"/>
    <mergeCell ref="T30:U30"/>
    <mergeCell ref="Q32:S32"/>
    <mergeCell ref="D44:E44"/>
    <mergeCell ref="R35:S35"/>
    <mergeCell ref="T35:U35"/>
    <mergeCell ref="O33:P33"/>
    <mergeCell ref="Q33:S33"/>
    <mergeCell ref="M34:N34"/>
    <mergeCell ref="O34:P34"/>
    <mergeCell ref="Q34:S34"/>
    <mergeCell ref="M31:N31"/>
    <mergeCell ref="O31:P31"/>
    <mergeCell ref="Q31:S31"/>
    <mergeCell ref="M30:N30"/>
    <mergeCell ref="M32:N32"/>
    <mergeCell ref="M39:N39"/>
    <mergeCell ref="M35:O35"/>
    <mergeCell ref="D45:E45"/>
    <mergeCell ref="O32:P32"/>
    <mergeCell ref="P35:Q35"/>
    <mergeCell ref="T68:U68"/>
    <mergeCell ref="M70:U70"/>
    <mergeCell ref="R68:S68"/>
    <mergeCell ref="D69:E69"/>
    <mergeCell ref="D71:E71"/>
    <mergeCell ref="P68:Q68"/>
    <mergeCell ref="D70:E70"/>
    <mergeCell ref="M68:O68"/>
    <mergeCell ref="D61:E61"/>
    <mergeCell ref="D67:E67"/>
    <mergeCell ref="D54:E54"/>
    <mergeCell ref="D52:E52"/>
    <mergeCell ref="D66:E66"/>
    <mergeCell ref="D55:E55"/>
    <mergeCell ref="D65:E65"/>
    <mergeCell ref="D49:E49"/>
    <mergeCell ref="D50:E50"/>
    <mergeCell ref="D48:E48"/>
    <mergeCell ref="D46:E46"/>
    <mergeCell ref="D47:E47"/>
    <mergeCell ref="T78:U78"/>
    <mergeCell ref="R76:S76"/>
    <mergeCell ref="R77:S77"/>
    <mergeCell ref="R72:S72"/>
    <mergeCell ref="R74:S74"/>
    <mergeCell ref="R73:S73"/>
    <mergeCell ref="T77:U77"/>
    <mergeCell ref="M66:N66"/>
    <mergeCell ref="D72:E72"/>
    <mergeCell ref="D73:E73"/>
    <mergeCell ref="D53:E53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2026-06-25T00:25:13Z</dcterms:modified>
</cp:coreProperties>
</file>