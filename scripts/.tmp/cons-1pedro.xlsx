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<sst xmlns="http://schemas.openxmlformats.org/spreadsheetml/2006/main" count="137" uniqueCount="108">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</sst>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 t="inlineStr">
        <is>
          <t xml:space="preserve">PEDRO</t>
        </is>
      </c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 t="inlineStr">
        <is>
          <t xml:space="preserve">PERCY</t>
        </is>
      </c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 t="inlineStr">
        <is>
          <t xml:space="preserve">Ruta</t>
        </is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 t="inlineStr">
        <is>
          <t xml:space="preserve">Agro</t>
        </is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260006320</t>
        </is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>
        <v>5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>
        <v>1054260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>
        <v>592000</v>
      </c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>
        <v>1260</v>
      </c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>
        <v>461001</v>
      </c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>
        <v>5</v>
      </c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>
        <v>1054260</v>
      </c>
      <c r="W24" s="118">
        <v>5</v>
      </c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>
        <v>592000</v>
      </c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>
        <v>1260</v>
      </c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>
        <v>1054260</v>
      </c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>
        <v>461001</v>
      </c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>
        <v>1054261</v>
      </c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/>
      <c r="N37" s="38"/>
      <c r="O37" s="39"/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ht="15" thickBot="1" x14ac:dyDescent="0.35">
      <c r="B38" s="20"/>
      <c r="C38" s="32"/>
      <c r="I38" s="41">
        <f t="shared" ref="I38:I45" si="6">L$1</f>
        <v>0</v>
      </c>
      <c r="J38" s="27">
        <f t="shared" ref="J38:J45" si="7">L10</f>
        <v>0</v>
      </c>
      <c r="L38" s="105"/>
      <c r="M38" s="171" t="s">
        <v>42</v>
      </c>
      <c r="N38" s="179"/>
      <c r="O38" s="150"/>
      <c r="P38" s="152"/>
      <c r="Q38" s="75"/>
      <c r="R38" s="154"/>
      <c r="S38" s="73"/>
      <c r="T38" s="152"/>
      <c r="U38" s="76"/>
      <c r="V38" s="1"/>
      <c r="W38" s="1"/>
    </row>
    <row r="39" spans="1:23" x14ac:dyDescent="0.3">
      <c r="B39" s="20"/>
      <c r="C39" s="32"/>
      <c r="I39" s="41">
        <f t="shared" si="6"/>
        <v>0</v>
      </c>
      <c r="J39" s="27">
        <f t="shared" si="7"/>
        <v>0</v>
      </c>
      <c r="K39" s="24"/>
      <c r="L39" s="105"/>
      <c r="M39" s="37" t="inlineStr">
        <is>
          <t xml:space="preserve">30-07-2026</t>
        </is>
      </c>
      <c r="N39" s="38" t="inlineStr">
        <is>
          <t xml:space="preserve">BCI</t>
        </is>
      </c>
      <c r="O39" s="39">
        <v>368449</v>
      </c>
      <c r="P39" s="152"/>
      <c r="Q39" s="68"/>
      <c r="R39" s="154"/>
      <c r="S39" s="73"/>
      <c r="T39" s="152"/>
      <c r="U39" s="68"/>
      <c r="V39" s="1"/>
      <c r="W39" s="1"/>
    </row>
    <row r="40" spans="1:23" ht="16.5" customHeight="1" x14ac:dyDescent="0.4">
      <c r="B40" s="20"/>
      <c r="C40" s="32"/>
      <c r="D40" s="44"/>
      <c r="E40" s="43"/>
      <c r="I40" s="41">
        <f t="shared" si="6"/>
        <v>0</v>
      </c>
      <c r="J40" s="27">
        <f t="shared" si="7"/>
        <v>0</v>
      </c>
      <c r="K40" s="24"/>
      <c r="L40" s="105"/>
      <c r="M40" s="37" t="inlineStr">
        <is>
          <t xml:space="preserve">30-07-2026</t>
        </is>
      </c>
      <c r="N40" s="38" t="inlineStr">
        <is>
          <t xml:space="preserve">BCI</t>
        </is>
      </c>
      <c r="O40" s="39">
        <v>92552</v>
      </c>
      <c r="P40" s="152"/>
      <c r="Q40" s="66"/>
      <c r="R40" s="154"/>
      <c r="S40" s="74"/>
      <c r="T40" s="152"/>
      <c r="U40" s="68"/>
      <c r="V40" s="1"/>
      <c r="W40" s="1"/>
    </row>
    <row r="41" spans="1:23" ht="15" customHeight="1" x14ac:dyDescent="0.3">
      <c r="B41" s="20"/>
      <c r="C41" s="32"/>
      <c r="D41" s="23"/>
      <c r="E41" s="23"/>
      <c r="I41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6"/>
      <c r="R41" s="154"/>
      <c r="S41" s="74"/>
      <c r="T41" s="152"/>
      <c r="U41" s="68"/>
      <c r="V41" s="1"/>
      <c r="W41" s="1"/>
    </row>
    <row r="42" spans="1:23" ht="15" customHeight="1" x14ac:dyDescent="0.6">
      <c r="B42" s="20"/>
      <c r="C42" s="25"/>
      <c r="D42" s="23"/>
      <c r="E42" s="23"/>
      <c r="F42" s="47"/>
      <c r="I42" s="41">
        <f t="shared" si="6"/>
        <v>0</v>
      </c>
      <c r="J42" s="27">
        <f t="shared" si="7"/>
        <v>0</v>
      </c>
      <c r="L42" s="105"/>
      <c r="M42" s="37"/>
      <c r="N42" s="38"/>
      <c r="O42" s="39"/>
      <c r="P42" s="152"/>
      <c r="Q42" s="66"/>
      <c r="R42" s="154"/>
      <c r="S42" s="73"/>
      <c r="T42" s="152"/>
      <c r="U42" s="68"/>
      <c r="V42" s="1"/>
      <c r="W42" s="1"/>
    </row>
    <row r="43" spans="1:23" ht="15.75" customHeight="1" x14ac:dyDescent="0.6">
      <c r="A43" s="104"/>
      <c r="B43" s="20"/>
      <c r="C43" s="32"/>
      <c r="D43" s="170"/>
      <c r="E43" s="170"/>
      <c r="F43" s="47"/>
      <c r="G43" s="8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2"/>
      <c r="S43" s="67"/>
      <c r="T43" s="152"/>
      <c r="U43" s="68"/>
    </row>
    <row r="44" spans="1:23" ht="15" customHeight="1" x14ac:dyDescent="0.3">
      <c r="A44" s="25"/>
      <c r="B44" s="20"/>
      <c r="C44" s="25"/>
      <c r="D44" s="170"/>
      <c r="E44" s="170"/>
      <c r="F44" s="48"/>
      <c r="H44" s="64"/>
      <c r="I44" s="41">
        <f t="shared" si="6"/>
        <v>0</v>
      </c>
      <c r="J44" s="27">
        <f t="shared" si="7"/>
        <v>0</v>
      </c>
      <c r="K44" s="24"/>
      <c r="L44" s="105"/>
      <c r="M44" s="37"/>
      <c r="N44" s="38"/>
      <c r="O44" s="39"/>
      <c r="P44" s="152"/>
      <c r="Q44" s="66"/>
      <c r="R44" s="152"/>
      <c r="S44" s="67"/>
      <c r="T44" s="152"/>
      <c r="U44" s="68"/>
    </row>
    <row r="45" spans="1:23" x14ac:dyDescent="0.3">
      <c r="A45" s="25"/>
      <c r="B45" s="25"/>
      <c r="C45" s="40"/>
      <c r="D45" s="170"/>
      <c r="E45" s="170"/>
      <c r="F45" s="23"/>
      <c r="H45" s="64"/>
      <c r="I45" s="41">
        <f t="shared" si="6"/>
        <v>0</v>
      </c>
      <c r="J45" s="27">
        <f t="shared" si="7"/>
        <v>0</v>
      </c>
      <c r="L45" s="105"/>
      <c r="M45" s="37"/>
      <c r="N45" s="38"/>
      <c r="O45" s="39"/>
      <c r="P45" s="152"/>
      <c r="Q45" s="66"/>
      <c r="R45" s="152"/>
      <c r="S45" s="72"/>
      <c r="T45" s="152"/>
      <c r="U45" s="68"/>
    </row>
    <row r="46" spans="1:23" x14ac:dyDescent="0.3">
      <c r="A46" s="20"/>
      <c r="B46" s="20"/>
      <c r="C46" s="40"/>
      <c r="D46" s="170"/>
      <c r="E46" s="170"/>
      <c r="F46" s="49"/>
      <c r="H46" s="64"/>
      <c r="I46" s="13"/>
      <c r="J46" s="53">
        <f>SUM(J28:J45)</f>
        <v>0</v>
      </c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7" spans="1:23" x14ac:dyDescent="0.3">
      <c r="A47" s="20"/>
      <c r="B47" s="20"/>
      <c r="C47" s="40"/>
      <c r="D47" s="170"/>
      <c r="E47" s="170"/>
      <c r="F47" s="17"/>
      <c r="G47" s="1"/>
      <c r="H47" s="64"/>
      <c r="I47" s="13"/>
      <c r="J47" s="53"/>
      <c r="K47" s="24"/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23"/>
      <c r="G48" s="1"/>
      <c r="H48" s="64"/>
      <c r="I48" s="13"/>
      <c r="J48" s="53"/>
      <c r="L48" s="105"/>
      <c r="M48" s="37"/>
      <c r="N48" s="38"/>
      <c r="O48" s="39"/>
      <c r="P48" s="152"/>
      <c r="Q48" s="66"/>
      <c r="R48" s="152"/>
      <c r="S48" s="67"/>
      <c r="T48" s="154"/>
      <c r="U48" s="68"/>
    </row>
    <row r="49" spans="1:21" x14ac:dyDescent="0.3">
      <c r="A49" s="20"/>
      <c r="B49" s="20"/>
      <c r="C49" s="40"/>
      <c r="D49" s="170"/>
      <c r="E49" s="170"/>
      <c r="F49" s="23"/>
      <c r="G49" s="1"/>
      <c r="H49" s="46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23"/>
      <c r="E50" s="25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185"/>
      <c r="E51" s="185"/>
      <c r="F51" s="23"/>
      <c r="G51" s="1"/>
      <c r="H51" s="46"/>
      <c r="I51" s="13"/>
      <c r="J51" s="53"/>
      <c r="L51" s="105"/>
      <c r="M51" s="37"/>
      <c r="N51" s="38"/>
      <c r="O51" s="39"/>
      <c r="P51" s="151"/>
      <c r="Q51" s="66"/>
      <c r="R51" s="152"/>
      <c r="S51" s="67"/>
      <c r="T51" s="154"/>
      <c r="U51" s="68"/>
    </row>
    <row r="52" spans="1:21" x14ac:dyDescent="0.3">
      <c r="A52" s="20"/>
      <c r="B52" s="51"/>
      <c r="C52" s="40"/>
      <c r="D52" s="178"/>
      <c r="E52" s="178"/>
      <c r="F52" s="23"/>
      <c r="G52" s="1"/>
      <c r="H52" s="46"/>
      <c r="I52" s="50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5"/>
      <c r="B53" s="51"/>
      <c r="C53" s="40"/>
      <c r="D53" s="166"/>
      <c r="E53" s="166"/>
      <c r="F53" s="23"/>
      <c r="G53" s="1"/>
      <c r="H53" s="46"/>
      <c r="I53" s="50"/>
      <c r="J53" s="53"/>
      <c r="L53" s="18"/>
      <c r="M53" s="37"/>
      <c r="N53" s="38"/>
      <c r="O53" s="39"/>
      <c r="P53" s="152"/>
      <c r="Q53" s="66"/>
      <c r="R53" s="152"/>
      <c r="S53" s="67"/>
      <c r="T53" s="154"/>
      <c r="U53" s="68"/>
    </row>
    <row r="54" spans="1:21" x14ac:dyDescent="0.3">
      <c r="A54" s="20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22"/>
      <c r="E55" s="22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5"/>
      <c r="B60"/>
      <c r="C60" s="40"/>
      <c r="D60" s="166"/>
      <c r="E60" s="166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22"/>
      <c r="E61" s="22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135"/>
      <c r="R61" s="155"/>
      <c r="S61" s="88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ht="15" thickBot="1" x14ac:dyDescent="0.35">
      <c r="A64" s="25"/>
      <c r="B64"/>
      <c r="C64" s="40"/>
      <c r="D64" s="166"/>
      <c r="E64" s="166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84"/>
      <c r="R64" s="155"/>
      <c r="S64" s="88"/>
      <c r="T64" s="154"/>
      <c r="U64" s="71"/>
    </row>
    <row r="65" spans="1:23" ht="16.5" customHeight="1" thickBot="1" x14ac:dyDescent="0.35">
      <c r="A65" s="25"/>
      <c r="B65"/>
      <c r="C65" s="40"/>
      <c r="D65" s="166"/>
      <c r="E65" s="166"/>
      <c r="F65" s="20"/>
      <c r="G65" s="1"/>
      <c r="H65" s="46"/>
      <c r="I65" s="50"/>
      <c r="J65" s="53"/>
      <c r="L65"/>
      <c r="M65" s="171" t="s">
        <v>34</v>
      </c>
      <c r="N65" s="172"/>
      <c r="O65" s="42">
        <v>461001</v>
      </c>
      <c r="P65" s="52" t="s">
        <v>11</v>
      </c>
      <c r="Q65" s="42"/>
      <c r="R65" s="52" t="s">
        <v>11</v>
      </c>
      <c r="S65" s="42"/>
      <c r="T65" s="52" t="s">
        <v>11</v>
      </c>
      <c r="U65" s="42"/>
    </row>
    <row r="66" spans="1:23" ht="15" thickBot="1" x14ac:dyDescent="0.35">
      <c r="A66" s="25"/>
      <c r="B66"/>
      <c r="C66" s="90"/>
      <c r="D66" s="166"/>
      <c r="E66" s="166"/>
      <c r="F66" s="23"/>
      <c r="G66" s="1"/>
      <c r="H66" s="46"/>
      <c r="I66" s="50"/>
      <c r="J66"/>
      <c r="L66"/>
      <c r="M66" s="54"/>
      <c r="N66" s="55"/>
      <c r="O66" s="70"/>
      <c r="P66" s="23"/>
      <c r="Q66" s="69"/>
      <c r="R66" s="70"/>
      <c r="S66" s="70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46"/>
      <c r="I67" s="50"/>
      <c r="J67"/>
      <c r="L67"/>
      <c r="M67" s="167" t="s">
        <v>47</v>
      </c>
      <c r="N67" s="168"/>
      <c r="O67" s="169"/>
      <c r="P67" s="181"/>
      <c r="Q67" s="182"/>
      <c r="R67" s="167" t="s">
        <v>37</v>
      </c>
      <c r="S67" s="168"/>
      <c r="T67" s="183" t="str">
        <f>Q25</f>
      </c>
      <c r="U67" s="184"/>
    </row>
    <row r="68" spans="1:23" ht="15.75" customHeight="1" thickBot="1" x14ac:dyDescent="0.35">
      <c r="A68" s="25"/>
      <c r="B68"/>
      <c r="C68" s="25"/>
      <c r="D68" s="166"/>
      <c r="E68" s="166"/>
      <c r="F68" s="63"/>
      <c r="G68" s="1"/>
      <c r="H68" s="46"/>
      <c r="I68" s="50"/>
      <c r="J68"/>
      <c r="L68"/>
      <c r="M68" s="56"/>
      <c r="N68" s="83"/>
      <c r="O68" s="83"/>
      <c r="P68" s="57"/>
      <c r="Q68" s="58"/>
      <c r="R68" s="58"/>
      <c r="S68" s="58"/>
      <c r="T68" s="56"/>
      <c r="U68" s="56"/>
    </row>
    <row r="69" spans="1:23" ht="15.75" customHeight="1" thickBot="1" x14ac:dyDescent="0.35">
      <c r="A69" s="25"/>
      <c r="B69" s="90"/>
      <c r="C69" s="25"/>
      <c r="D69" s="166"/>
      <c r="E69" s="166"/>
      <c r="F69" s="63"/>
      <c r="G69" s="1"/>
      <c r="H69" s="46"/>
      <c r="I69" s="50"/>
      <c r="J69"/>
      <c r="L69"/>
      <c r="M69" s="171" t="s">
        <v>35</v>
      </c>
      <c r="N69" s="179"/>
      <c r="O69" s="179"/>
      <c r="P69" s="179"/>
      <c r="Q69" s="179"/>
      <c r="R69" s="179"/>
      <c r="S69" s="179"/>
      <c r="T69" s="179"/>
      <c r="U69" s="180"/>
      <c r="V69" s="51"/>
    </row>
    <row r="70" spans="1:23" ht="15" thickBot="1" x14ac:dyDescent="0.35">
      <c r="A70" s="25"/>
      <c r="B70" s="20"/>
      <c r="C70" s="25"/>
      <c r="D70" s="166"/>
      <c r="E70" s="166"/>
      <c r="F70" s="63"/>
      <c r="G70" s="1"/>
      <c r="H70" s="46"/>
      <c r="I70" s="50"/>
      <c r="J70"/>
      <c r="L70" s="49" t="s">
        <v>59</v>
      </c>
      <c r="M70" s="130" t="s">
        <v>55</v>
      </c>
      <c r="N70" s="131"/>
      <c r="O70" s="131"/>
      <c r="P70" s="131" t="s">
        <v>56</v>
      </c>
      <c r="Q70" s="131"/>
      <c r="R70" s="131"/>
      <c r="S70" s="131"/>
      <c r="T70" s="131" t="s">
        <v>57</v>
      </c>
      <c r="U70" s="132" t="s">
        <v>60</v>
      </c>
      <c r="V70" s="144" t="s">
        <v>58</v>
      </c>
      <c r="W70" s="144" t="s">
        <v>50</v>
      </c>
    </row>
    <row r="71" spans="1:23" ht="15.6" x14ac:dyDescent="0.3">
      <c r="A71" s="25"/>
      <c r="B71" s="115"/>
      <c r="C71" s="25"/>
      <c r="D71" s="166"/>
      <c r="E71" s="166"/>
      <c r="F71" s="63"/>
      <c r="G71" s="1"/>
      <c r="H71" s="46"/>
      <c r="I71" s="50"/>
      <c r="J71" s="23"/>
      <c r="L71" s="0"/>
      <c r="M71" s="59"/>
      <c r="N71" s="60"/>
      <c r="O71" s="143" t="s">
        <v>43</v>
      </c>
      <c r="P71" s="62"/>
      <c r="Q71" s="61"/>
      <c r="R71" s="177" t="inlineStr">
        <is>
          <t xml:space="preserve">CREDITO</t>
        </is>
      </c>
      <c r="S71" s="177"/>
      <c r="T71" s="133"/>
      <c r="U71" s="134"/>
      <c r="V71" s="51"/>
    </row>
    <row r="72" spans="1:23" ht="15.6" x14ac:dyDescent="0.3">
      <c r="B72" s="51"/>
      <c r="C72" s="89"/>
      <c r="D72" s="166"/>
      <c r="E72" s="166"/>
      <c r="F72" s="63"/>
      <c r="I72" s="115"/>
      <c r="L72"/>
      <c r="M72" s="85"/>
      <c r="N72" s="86"/>
      <c r="O72" s="18"/>
      <c r="P72" s="87"/>
      <c r="Q72" s="56"/>
      <c r="R72" s="175"/>
      <c r="S72" s="175"/>
      <c r="T72" s="65"/>
      <c r="U72" s="95"/>
      <c r="V72" s="51"/>
    </row>
    <row r="73" spans="1:23" ht="15.6" x14ac:dyDescent="0.3">
      <c r="A73" s="49"/>
      <c r="B73" s="89"/>
      <c r="C73" s="89"/>
      <c r="D73" s="23"/>
      <c r="E73" s="25"/>
      <c r="F73" s="63"/>
      <c r="I73" s="115"/>
      <c r="L73" s="45"/>
      <c r="M73" s="85"/>
      <c r="N73" s="86"/>
      <c r="O73" s="18" t="s">
        <v>43</v>
      </c>
      <c r="P73" s="87"/>
      <c r="Q73" s="56"/>
      <c r="R73" s="175" t="inlineStr">
        <is>
          <t xml:space="preserve">TRANSFERENCIA</t>
        </is>
      </c>
      <c r="S73" s="175"/>
      <c r="T73" s="65"/>
      <c r="U73" s="95"/>
      <c r="V73" s="51"/>
    </row>
    <row r="74" spans="1:23" ht="15.6" x14ac:dyDescent="0.3">
      <c r="L74" s="45"/>
      <c r="M74" s="85"/>
      <c r="N74" s="86"/>
      <c r="O74" s="123"/>
      <c r="P74" s="87"/>
      <c r="Q74" s="56"/>
      <c r="R74" s="175"/>
      <c r="S74" s="175"/>
      <c r="T74" s="65"/>
      <c r="U74" s="95"/>
      <c r="V74" s="51"/>
    </row>
    <row r="75" spans="1:23" ht="15.6" x14ac:dyDescent="0.3">
      <c r="L75" s="45"/>
      <c r="M75" s="137" t="s">
        <v>61</v>
      </c>
      <c r="N75" s="138"/>
      <c r="O75" s="139"/>
      <c r="P75" s="140"/>
      <c r="Q75" s="141"/>
      <c r="R75" s="176"/>
      <c r="S75" s="176"/>
      <c r="T75" s="173"/>
      <c r="U75" s="174"/>
      <c r="V75" s="51"/>
    </row>
    <row r="76" spans="1:23" ht="15.6" x14ac:dyDescent="0.3">
      <c r="L76" s="45"/>
      <c r="M76" s="137" t="s">
        <v>62</v>
      </c>
      <c r="N76" s="138"/>
      <c r="O76" s="139"/>
      <c r="P76" s="140"/>
      <c r="Q76" s="141"/>
      <c r="R76" s="142"/>
      <c r="S76" s="142"/>
      <c r="T76" s="173"/>
      <c r="U76" s="174"/>
      <c r="V76" s="51"/>
    </row>
    <row r="77" spans="1:23" ht="16.2" thickBot="1" x14ac:dyDescent="0.35">
      <c r="L77" s="45"/>
      <c r="M77" s="94"/>
      <c r="N77" s="64"/>
      <c r="O77" s="123"/>
      <c r="P77" s="87"/>
      <c r="Q77" s="56"/>
      <c r="R77" s="56"/>
      <c r="S77" s="56"/>
      <c r="T77" s="65"/>
      <c r="U77" s="95"/>
      <c r="V77" s="51"/>
    </row>
    <row r="78" spans="1:23" ht="16.2" thickBot="1" x14ac:dyDescent="0.35">
      <c r="L78" s="45"/>
      <c r="M78" s="101" t="s">
        <v>11</v>
      </c>
      <c r="N78" s="102">
        <f>SUM(N76:N77)</f>
        <v>0</v>
      </c>
      <c r="O78" s="96"/>
      <c r="P78" s="98"/>
      <c r="Q78" s="97"/>
      <c r="R78" s="97"/>
      <c r="S78" s="97"/>
      <c r="T78" s="99"/>
      <c r="U78" s="100"/>
      <c r="V78" s="51"/>
    </row>
    <row r="79" spans="1:23" x14ac:dyDescent="0.3">
      <c r="M79"/>
      <c r="O79" s="5"/>
      <c r="Q79"/>
      <c r="S79"/>
      <c r="T79" s="6"/>
      <c r="V79" s="51"/>
    </row>
    <row r="80" spans="1:23" x14ac:dyDescent="0.3">
      <c r="O80"/>
      <c r="V80" s="51"/>
    </row>
    <row r="81" spans="13:22" x14ac:dyDescent="0.3">
      <c r="M81" s="23"/>
      <c r="N81" s="23"/>
      <c r="O81" s="23"/>
      <c r="P81" s="23"/>
      <c r="Q81" s="23"/>
      <c r="V81" s="51"/>
    </row>
    <row r="82" spans="13:22" x14ac:dyDescent="0.3"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22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3:E4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8:N38"/>
    <mergeCell ref="D71:E71"/>
    <mergeCell ref="D72:E72"/>
    <mergeCell ref="D52:E52"/>
    <mergeCell ref="M69:U69"/>
    <mergeCell ref="R67:S67"/>
    <mergeCell ref="D68:E68"/>
    <mergeCell ref="P67:Q67"/>
    <mergeCell ref="T67:U67"/>
    <mergeCell ref="D60:E60"/>
    <mergeCell ref="D66:E66"/>
    <mergeCell ref="D53:E53"/>
    <mergeCell ref="D65:E65"/>
    <mergeCell ref="D54:E54"/>
    <mergeCell ref="D64:E64"/>
    <mergeCell ref="T76:U76"/>
    <mergeCell ref="R74:S74"/>
    <mergeCell ref="R75:S75"/>
    <mergeCell ref="R71:S71"/>
    <mergeCell ref="R73:S73"/>
    <mergeCell ref="R72:S72"/>
    <mergeCell ref="T75:U75"/>
    <mergeCell ref="D70:E70"/>
    <mergeCell ref="D69:E69"/>
    <mergeCell ref="M67:O67"/>
    <mergeCell ref="D44:E44"/>
    <mergeCell ref="D46:E46"/>
    <mergeCell ref="M65:N65"/>
    <mergeCell ref="D48:E48"/>
    <mergeCell ref="D49:E49"/>
    <mergeCell ref="D47:E47"/>
    <mergeCell ref="D45:E45"/>
    <mergeCell ref="D51:E5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