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90075A0A-0C6D-49CB-A4E0-D1F4E8A05D41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RUTA" sheetId="1" r:id="rId1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<sst xmlns="http://schemas.openxmlformats.org/spreadsheetml/2006/main" count="129" uniqueCount="100">
  <si>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</si>
  <si>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</si>
  <si>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</si>
  <si>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</si>
  <si>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</si>
  <si>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</si>
  <si>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</si>
  <si>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</si>
  <si>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</si>
  <si>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</si>
  <si>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</si>
  <si>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</si>
  <si>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</si>
  <si>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</si>
  <si>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</si>
  <si>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</si>
  <si>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</si>
  <si>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</si>
  <si>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</si>
  <si>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</si>
  <si>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</si>
  <si>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</si>
  <si>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</si>
  <si>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</si>
  <si>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</si>
  <si>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</si>
  <si>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</si>
  <si>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</si>
  <si>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</si>
  <si>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</si>
  <si>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</si>
  <si>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</si>
  <si>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</si>
  <si>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</si>
  <si>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</si>
  <si>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</si>
  <si>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</si>
  <si>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</si>
  <si>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</si>
  <si>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</si>
  <si>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</si>
  <si>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</si>
  <si>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</si>
  <si>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</si>
  <si>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</si>
  <si>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</si>
  <si>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</si>
  <si>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</si>
  <si>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</si>
  <si>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</si>
  <si>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</si>
  <si>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</si>
  <si>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</si>
  <si>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</si>
  <si>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</si>
  <si>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</si>
  <si>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</si>
  <si>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</si>
  <si>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</si>
  <si>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</si>
  <si>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</si>
  <si>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</si>
  <si>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</si>
  <si>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</si>
  <si>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</si>
  <si>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</si>
  <si>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</si>
  <si>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</si>
  <si>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</si>
  <si>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</si>
  <si>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</si>
  <si>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</si>
  <si>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</si>
  <si>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</si>
  <si>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</si>
  <si>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{{extraction.auxiliar.valor}}</t>
  </si>
  <si>
    <t>{{extraction.conductor.valor}}</t>
  </si>
  <si>
    <t>{{extraction.cant_fact.valor}}</t>
  </si>
  <si>
    <t>{{extraction.n_recorrido.valor}}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</si>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</sst>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27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8" fillId="0" borderId="20" xfId="0" applyFont="1" applyBorder="1" applyAlignment="1">
      <alignment horizontal="center"/>
    </xf>
    <xf numFmtId="0" fontId="8" fillId="0" borderId="24" xfId="0" applyFont="1" applyBorder="1" applyAlignment="1">
      <alignment horizontal="center" vertical="center"/>
    </xf>
    <xf numFmtId="4" fontId="8" fillId="0" borderId="0" xfId="0" applyNumberFormat="1" applyFont="1"/>
    <xf numFmtId="0" fontId="8" fillId="0" borderId="24" xfId="0" applyFont="1" applyBorder="1" applyAlignment="1">
      <alignment horizontal="center"/>
    </xf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3" fontId="0" fillId="0" borderId="1" xfId="0" applyNumberFormat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3" fontId="0" fillId="0" borderId="3" xfId="0" applyNumberFormat="1" applyBorder="1" applyAlignment="1">
      <alignment horizontal="righ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5" fontId="0" fillId="0" borderId="3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2" xfId="0" applyNumberFormat="1" applyBorder="1"/>
    <xf numFmtId="165" fontId="0" fillId="0" borderId="1" xfId="0" applyNumberFormat="1" applyBorder="1" applyAlignment="1">
      <alignment horizontal="center"/>
    </xf>
    <xf numFmtId="0" fontId="13" fillId="0" borderId="0" xfId="0" applyFont="1"/>
    <xf numFmtId="42" fontId="13" fillId="0" borderId="0" xfId="0" applyNumberFormat="1" applyFont="1"/>
    <xf numFmtId="42" fontId="19" fillId="0" borderId="0" xfId="0" applyNumberFormat="1" applyFont="1" applyAlignment="1">
      <alignment horizontal="center" vertical="center"/>
    </xf>
    <xf numFmtId="164" fontId="13" fillId="0" borderId="0" xfId="0" applyNumberFormat="1" applyFont="1"/>
    <xf numFmtId="3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71" fontId="0" fillId="0" borderId="1" xfId="1" applyNumberFormat="1" applyFont="1" applyFill="1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42" fontId="0" fillId="3" borderId="0" xfId="0" applyNumberFormat="1" applyFill="1"/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42" fontId="0" fillId="0" borderId="23" xfId="3" applyFont="1" applyFill="1" applyBorder="1" applyAlignment="1">
      <alignment horizontal="righ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4" borderId="0" xfId="2" applyFont="1" applyFill="1" applyBorder="1" applyAlignment="1">
      <alignment horizontal="center" vertical="center"/>
    </xf>
    <xf numFmtId="169" fontId="4" fillId="5" borderId="21" xfId="0" applyNumberFormat="1" applyFont="1" applyFill="1" applyBorder="1" applyAlignment="1">
      <alignment vertical="center"/>
    </xf>
    <xf numFmtId="167" fontId="4" fillId="5" borderId="0" xfId="1" applyNumberFormat="1" applyFont="1" applyFill="1" applyBorder="1" applyAlignment="1">
      <alignment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top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3" fontId="5" fillId="0" borderId="0" xfId="0" applyNumberFormat="1" applyFont="1" applyAlignment="1">
      <alignment horizontal="center" vertic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28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42" fontId="6" fillId="0" borderId="0" xfId="2" applyFont="1" applyBorder="1" applyAlignment="1"/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67" fontId="18" fillId="5" borderId="0" xfId="1" applyNumberFormat="1" applyFont="1" applyFill="1" applyBorder="1" applyAlignment="1">
      <alignment horizontal="center" vertical="center"/>
    </xf>
    <xf numFmtId="167" fontId="18" fillId="5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371331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3"/>
  <sheetViews>
    <sheetView tabSelected="1" topLeftCell="A56" zoomScale="85" zoomScaleNormal="85" workbookViewId="0">
      <pane xSplit="1" topLeftCell="M1" activePane="topRight" state="frozenSplit"/>
      <selection activeCell="A49" sqref="A49"/>
      <selection pane="topRight" activeCell="U81" sqref="U81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JUAN PEREZ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/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12345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10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>
        <v>1000000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171">
        <v>450000</v>
      </c>
      <c r="C9" s="172"/>
      <c r="D9" s="173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171">
        <v>50000</v>
      </c>
      <c r="C10" s="172"/>
      <c r="D10" s="173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171">
        <v>300000</v>
      </c>
      <c r="C11" s="172"/>
      <c r="D11" s="173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171"/>
      <c r="C12" s="172"/>
      <c r="D12" s="173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171"/>
      <c r="C13" s="172"/>
      <c r="D13" s="173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171"/>
      <c r="C14" s="172"/>
      <c r="D14" s="173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171"/>
      <c r="C15" s="172"/>
      <c r="D15" s="173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171"/>
      <c r="C16" s="172"/>
      <c r="D16" s="173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171"/>
      <c r="C17" s="172"/>
      <c r="D17" s="173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74" t="s">
        <v>48</v>
      </c>
      <c r="N22" s="174"/>
      <c r="O22" s="174"/>
      <c r="P22" s="174"/>
      <c r="Q22" s="174"/>
      <c r="R22" s="174"/>
      <c r="S22" s="174"/>
      <c r="T22" s="174"/>
      <c r="U22" s="174"/>
    </row>
    <row r="23" spans="1:23" ht="16.2" thickBot="1" x14ac:dyDescent="0.35">
      <c r="D23" s="6"/>
      <c r="J23"/>
      <c r="L23"/>
      <c r="M23" s="14" t="s">
        <v>13</v>
      </c>
      <c r="N23" s="185"/>
      <c r="O23" s="186"/>
      <c r="P23" s="186"/>
      <c r="Q23" s="186"/>
      <c r="R23" s="186"/>
      <c r="S23" s="187"/>
      <c r="T23" s="142" t="s">
        <v>38</v>
      </c>
      <c r="U23" s="115">
        <v>10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188" t="s">
        <v>49</v>
      </c>
      <c r="O24" s="189"/>
      <c r="P24" s="189"/>
      <c r="Q24" s="189"/>
      <c r="R24" s="189"/>
      <c r="S24" s="190"/>
      <c r="T24" s="117" t="s">
        <v>11</v>
      </c>
      <c r="U24" s="116">
        <v>1000000</v>
      </c>
      <c r="W24" s="141" t="str">
        <f>U23</f>
      </c>
    </row>
    <row r="25" spans="1:23" x14ac:dyDescent="0.3">
      <c r="B25" s="2"/>
      <c r="C25" s="111"/>
      <c r="D25" s="3" t="s">
        <v>15</v>
      </c>
      <c r="E25" s="4"/>
      <c r="J25"/>
      <c r="L25"/>
      <c r="M25" s="193" t="s">
        <v>16</v>
      </c>
      <c r="N25" s="194"/>
      <c r="O25" s="195"/>
      <c r="P25" s="196"/>
      <c r="Q25" s="171">
        <v>450000</v>
      </c>
      <c r="R25" s="172"/>
      <c r="S25" s="173"/>
      <c r="T25" s="191" t="s">
        <v>17</v>
      </c>
      <c r="U25" s="192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1">
        <v>50000</v>
      </c>
      <c r="R26" s="172"/>
      <c r="S26" s="173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75"/>
      <c r="P27" s="176"/>
      <c r="Q27" s="171">
        <v>300000</v>
      </c>
      <c r="R27" s="172"/>
      <c r="S27" s="173"/>
      <c r="T27" s="183" t="s">
        <v>19</v>
      </c>
      <c r="U27" s="184"/>
      <c r="V27" s="19"/>
      <c r="W27" s="97" t="str">
        <f>U24</f>
      </c>
    </row>
    <row r="28" spans="1:23" x14ac:dyDescent="0.3">
      <c r="I28" s="118">
        <f>C1</f>
        <v>0</v>
      </c>
      <c r="J28" s="162">
        <f>C9</f>
        <v>0</v>
      </c>
      <c r="L28"/>
      <c r="M28" s="181" t="s">
        <v>20</v>
      </c>
      <c r="N28" s="182"/>
      <c r="O28" s="175"/>
      <c r="P28" s="176"/>
      <c r="Q28" s="171"/>
      <c r="R28" s="172"/>
      <c r="S28" s="173"/>
      <c r="T28" s="179" t="s">
        <v>39</v>
      </c>
      <c r="U28" s="180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81" t="s">
        <v>21</v>
      </c>
      <c r="N29" s="182"/>
      <c r="O29" s="175"/>
      <c r="P29" s="176"/>
      <c r="Q29" s="171"/>
      <c r="R29" s="172"/>
      <c r="S29" s="173"/>
      <c r="T29" s="177" t="s">
        <v>40</v>
      </c>
      <c r="U29" s="178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81" t="s">
        <v>22</v>
      </c>
      <c r="N30" s="182"/>
      <c r="O30" s="175"/>
      <c r="P30" s="203"/>
      <c r="Q30" s="171"/>
      <c r="R30" s="172"/>
      <c r="S30" s="173"/>
      <c r="T30" s="204" t="s">
        <v>41</v>
      </c>
      <c r="U30" s="205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81" t="s">
        <v>23</v>
      </c>
      <c r="N31" s="182"/>
      <c r="O31" s="175"/>
      <c r="P31" s="176"/>
      <c r="Q31" s="171"/>
      <c r="R31" s="172"/>
      <c r="S31" s="173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81" t="s">
        <v>24</v>
      </c>
      <c r="N32" s="182"/>
      <c r="O32" s="175"/>
      <c r="P32" s="176"/>
      <c r="Q32" s="171"/>
      <c r="R32" s="172"/>
      <c r="S32" s="173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75"/>
      <c r="P33" s="176"/>
      <c r="Q33" s="171"/>
      <c r="R33" s="172"/>
      <c r="S33" s="173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199" t="s">
        <v>26</v>
      </c>
      <c r="N34" s="200"/>
      <c r="O34" s="201"/>
      <c r="P34" s="202"/>
      <c r="Q34" s="171">
        <v>1000000</v>
      </c>
      <c r="R34" s="172"/>
      <c r="S34" s="173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209" t="s">
        <v>27</v>
      </c>
      <c r="N35" s="210"/>
      <c r="O35" s="211"/>
      <c r="P35" s="197" t="s">
        <v>28</v>
      </c>
      <c r="Q35" s="198"/>
      <c r="R35" s="197" t="s">
        <v>29</v>
      </c>
      <c r="S35" s="198"/>
      <c r="T35" s="197" t="s">
        <v>30</v>
      </c>
      <c r="U35" s="198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SUM(O42)</f>
        <v>0</v>
      </c>
      <c r="L37"/>
      <c r="M37" s="37" t="inlineStr">
        <is>
          <t xml:space="preserve">01/01/2026</t>
        </is>
      </c>
      <c r="N37" s="38" t="inlineStr">
        <is>
          <t xml:space="preserve">SANTANDER</t>
        </is>
      </c>
      <c r="O37" s="39">
        <v>100000</v>
      </c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x14ac:dyDescent="0.3">
      <c r="M38" s="37" t="inlineStr">
        <is>
          <t xml:space="preserve">02/01/2026</t>
        </is>
      </c>
      <c r="N38" s="38" t="inlineStr">
        <is>
          <t xml:space="preserve">BCI</t>
        </is>
      </c>
      <c r="O38" s="39">
        <v>200000</v>
      </c>
      <c r="P38" s="40"/>
      <c r="Q38" s="81"/>
      <c r="R38" s="41"/>
      <c r="S38" s="82"/>
      <c r="T38" s="42"/>
      <c r="U38" s="78"/>
    </row>
    <row r="39" spans="1:23" ht="15" thickBot="1" x14ac:dyDescent="0.35">
      <c r="B39" s="20"/>
      <c r="C39" s="32"/>
      <c r="I39" s="134"/>
      <c r="J39"/>
      <c r="L39" s="114">
        <v>2</v>
      </c>
      <c r="M39" s="207" t="s">
        <v>42</v>
      </c>
      <c r="N39" s="208"/>
      <c r="O39" s="46">
        <v>300000</v>
      </c>
      <c r="P39" s="42"/>
      <c r="Q39" s="79"/>
      <c r="R39" s="44"/>
      <c r="S39" s="77"/>
      <c r="T39" s="42"/>
      <c r="U39" s="80"/>
      <c r="V39" s="1"/>
      <c r="W39" s="1"/>
    </row>
    <row r="40" spans="1:23" x14ac:dyDescent="0.3">
      <c r="B40" s="20"/>
      <c r="C40" s="32"/>
      <c r="I40" s="134"/>
      <c r="J40"/>
      <c r="K40" s="24" t="e">
        <f>Q27+Q28</f>
        <v>#VALUE!</v>
      </c>
      <c r="L40" s="114">
        <v>3</v>
      </c>
      <c r="M40" s="37"/>
      <c r="N40" s="38"/>
      <c r="O40" s="39"/>
      <c r="P40" s="42"/>
      <c r="Q40" s="72"/>
      <c r="R40" s="44"/>
      <c r="S40" s="77"/>
      <c r="T40" s="42"/>
      <c r="U40" s="72"/>
      <c r="V40" s="1"/>
      <c r="W40" s="1"/>
    </row>
    <row r="41" spans="1:23" ht="16.5" customHeight="1" x14ac:dyDescent="0.4">
      <c r="B41" s="20"/>
      <c r="C41" s="32"/>
      <c r="D41" s="48"/>
      <c r="E41" s="47"/>
      <c r="I41" s="134"/>
      <c r="J41"/>
      <c r="K41" s="24"/>
      <c r="L41" s="114">
        <v>4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3">
      <c r="B42" s="20"/>
      <c r="C42" s="32"/>
      <c r="D42" s="23"/>
      <c r="E42" s="23"/>
      <c r="I42" s="133"/>
      <c r="J42"/>
      <c r="K42" s="24"/>
      <c r="L42" s="114">
        <v>5</v>
      </c>
      <c r="M42" s="37"/>
      <c r="N42" s="38"/>
      <c r="O42" s="39"/>
      <c r="P42" s="42"/>
      <c r="Q42" s="70"/>
      <c r="R42" s="44"/>
      <c r="S42" s="78"/>
      <c r="T42" s="42"/>
      <c r="U42" s="72"/>
      <c r="V42" s="1"/>
      <c r="W42" s="1"/>
    </row>
    <row r="43" spans="1:23" ht="15" customHeight="1" x14ac:dyDescent="0.6">
      <c r="B43" s="20"/>
      <c r="C43" s="25"/>
      <c r="D43" s="23"/>
      <c r="E43" s="23"/>
      <c r="F43" s="51"/>
      <c r="I43" s="135"/>
      <c r="J43" s="57"/>
      <c r="L43" s="114">
        <v>6</v>
      </c>
      <c r="M43" s="37"/>
      <c r="N43" s="38"/>
      <c r="O43" s="39"/>
      <c r="P43" s="42"/>
      <c r="Q43" s="70"/>
      <c r="R43" s="44"/>
      <c r="S43" s="77"/>
      <c r="T43" s="42"/>
      <c r="U43" s="72"/>
      <c r="V43" s="1"/>
      <c r="W43" s="1"/>
    </row>
    <row r="44" spans="1:23" ht="15.75" customHeight="1" x14ac:dyDescent="0.6">
      <c r="A44" s="112"/>
      <c r="B44" s="20"/>
      <c r="C44" s="32"/>
      <c r="D44" s="206"/>
      <c r="E44" s="206"/>
      <c r="F44" s="51"/>
      <c r="G44" s="8"/>
      <c r="I44" s="136"/>
      <c r="J44" s="57"/>
      <c r="K44" s="24" t="e">
        <f>O39+O66</f>
        <v>#VALUE!</v>
      </c>
      <c r="L44" s="114">
        <v>7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ht="15" customHeight="1" x14ac:dyDescent="0.3">
      <c r="A45" s="25"/>
      <c r="B45" s="20"/>
      <c r="C45" s="25"/>
      <c r="D45" s="206"/>
      <c r="E45" s="206"/>
      <c r="F45" s="52"/>
      <c r="H45" s="68"/>
      <c r="I45" s="13"/>
      <c r="J45" s="57"/>
      <c r="K45" s="24"/>
      <c r="L45" s="114">
        <v>8</v>
      </c>
      <c r="M45" s="37"/>
      <c r="N45" s="38"/>
      <c r="O45" s="39"/>
      <c r="P45" s="42"/>
      <c r="Q45" s="70"/>
      <c r="R45" s="42"/>
      <c r="S45" s="71"/>
      <c r="T45" s="42"/>
      <c r="U45" s="72"/>
    </row>
    <row r="46" spans="1:23" x14ac:dyDescent="0.3">
      <c r="A46" s="25"/>
      <c r="B46" s="25"/>
      <c r="C46" s="43"/>
      <c r="D46" s="206"/>
      <c r="E46" s="206"/>
      <c r="F46" s="23"/>
      <c r="H46" s="68"/>
      <c r="I46" s="13"/>
      <c r="J46" s="57"/>
      <c r="L46" s="114">
        <v>9</v>
      </c>
      <c r="M46" s="37"/>
      <c r="N46" s="38"/>
      <c r="O46" s="39"/>
      <c r="P46" s="42"/>
      <c r="Q46" s="70"/>
      <c r="R46" s="42"/>
      <c r="S46" s="76"/>
      <c r="T46" s="42"/>
      <c r="U46" s="72"/>
    </row>
    <row r="47" spans="1:23" x14ac:dyDescent="0.3">
      <c r="A47" s="20"/>
      <c r="B47" s="20"/>
      <c r="C47" s="43"/>
      <c r="D47" s="206"/>
      <c r="E47" s="206"/>
      <c r="F47" s="53"/>
      <c r="H47" s="68"/>
      <c r="I47" s="13"/>
      <c r="J47" s="57"/>
      <c r="L47" s="114">
        <v>10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206"/>
      <c r="E48" s="206"/>
      <c r="F48" s="17"/>
      <c r="G48" s="1"/>
      <c r="H48" s="68"/>
      <c r="I48" s="13"/>
      <c r="J48" s="57"/>
      <c r="K48" s="24" t="e">
        <f>Q34-U24</f>
        <v>#VALUE!</v>
      </c>
      <c r="L48" s="114">
        <v>11</v>
      </c>
      <c r="M48" s="37"/>
      <c r="N48" s="38"/>
      <c r="O48" s="39"/>
      <c r="P48" s="42"/>
      <c r="Q48" s="70"/>
      <c r="R48" s="42"/>
      <c r="S48" s="71"/>
      <c r="T48" s="42"/>
      <c r="U48" s="72"/>
    </row>
    <row r="49" spans="1:23" x14ac:dyDescent="0.3">
      <c r="A49" s="20"/>
      <c r="B49" s="20"/>
      <c r="C49" s="43"/>
      <c r="D49" s="206"/>
      <c r="E49" s="206"/>
      <c r="F49" s="23"/>
      <c r="G49" s="1"/>
      <c r="H49" s="68"/>
      <c r="I49" s="13"/>
      <c r="J49" s="57"/>
      <c r="L49" s="114">
        <v>12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06"/>
      <c r="E50" s="206"/>
      <c r="F50" s="23"/>
      <c r="G50" s="1"/>
      <c r="H50" s="50"/>
      <c r="I50" s="13"/>
      <c r="J50" s="57"/>
      <c r="L50" s="114">
        <v>13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23"/>
      <c r="E51" s="25"/>
      <c r="F51" s="23"/>
      <c r="G51" s="1"/>
      <c r="H51" s="50"/>
      <c r="I51" s="13"/>
      <c r="J51" s="57"/>
      <c r="L51" s="114">
        <v>14</v>
      </c>
      <c r="M51" s="37"/>
      <c r="N51" s="38"/>
      <c r="O51" s="39"/>
      <c r="P51" s="42"/>
      <c r="Q51" s="70"/>
      <c r="R51" s="42"/>
      <c r="S51" s="71"/>
      <c r="T51" s="44"/>
      <c r="U51" s="72"/>
    </row>
    <row r="52" spans="1:21" x14ac:dyDescent="0.3">
      <c r="A52" s="20"/>
      <c r="B52" s="20"/>
      <c r="C52" s="43"/>
      <c r="D52" s="220"/>
      <c r="E52" s="220"/>
      <c r="F52" s="23"/>
      <c r="G52" s="1"/>
      <c r="H52" s="50"/>
      <c r="I52" s="13"/>
      <c r="J52" s="57"/>
      <c r="L52" s="114">
        <v>15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0"/>
      <c r="B53" s="55"/>
      <c r="C53" s="43"/>
      <c r="D53" s="221"/>
      <c r="E53" s="221"/>
      <c r="F53" s="23"/>
      <c r="G53" s="1"/>
      <c r="H53" s="50"/>
      <c r="I53" s="54"/>
      <c r="J53" s="57"/>
      <c r="L53" s="114">
        <v>16</v>
      </c>
      <c r="M53" s="37"/>
      <c r="N53" s="38"/>
      <c r="O53" s="39"/>
      <c r="P53" s="40"/>
      <c r="Q53" s="70"/>
      <c r="R53" s="42"/>
      <c r="S53" s="71"/>
      <c r="T53" s="44"/>
      <c r="U53" s="72"/>
    </row>
    <row r="54" spans="1:21" x14ac:dyDescent="0.3">
      <c r="A54" s="25"/>
      <c r="B54" s="55"/>
      <c r="C54" s="43"/>
      <c r="D54" s="217"/>
      <c r="E54" s="217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17"/>
      <c r="E55" s="217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 s="55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0"/>
      <c r="B60"/>
      <c r="C60" s="43"/>
      <c r="D60" s="22"/>
      <c r="E60" s="22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17"/>
      <c r="E61" s="217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70"/>
      <c r="R61" s="42"/>
      <c r="S61" s="71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x14ac:dyDescent="0.3">
      <c r="A64" s="25"/>
      <c r="B64"/>
      <c r="C64" s="43"/>
      <c r="D64" s="22"/>
      <c r="E64" s="22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161"/>
      <c r="R64" s="93"/>
      <c r="S64" s="92"/>
      <c r="T64" s="44"/>
      <c r="U64" s="72"/>
    </row>
    <row r="65" spans="1:21" ht="15" thickBot="1" x14ac:dyDescent="0.35">
      <c r="A65" s="25"/>
      <c r="B65"/>
      <c r="C65" s="43"/>
      <c r="D65" s="217"/>
      <c r="E65" s="217"/>
      <c r="F65" s="23"/>
      <c r="G65" s="1"/>
      <c r="H65" s="50"/>
      <c r="I65" s="54"/>
      <c r="J65" s="57"/>
      <c r="L65" s="18"/>
      <c r="M65" s="37"/>
      <c r="N65" s="38"/>
      <c r="O65" s="39"/>
      <c r="P65" s="42"/>
      <c r="Q65" s="88"/>
      <c r="R65" s="93"/>
      <c r="S65" s="92"/>
      <c r="T65" s="44"/>
      <c r="U65" s="75"/>
    </row>
    <row r="66" spans="1:23" ht="16.5" customHeight="1" thickBot="1" x14ac:dyDescent="0.35">
      <c r="A66" s="25"/>
      <c r="B66"/>
      <c r="C66" s="43"/>
      <c r="D66" s="217"/>
      <c r="E66" s="217"/>
      <c r="F66" s="20"/>
      <c r="G66" s="1"/>
      <c r="H66" s="50"/>
      <c r="I66" s="54"/>
      <c r="J66" s="57"/>
      <c r="L66"/>
      <c r="M66" s="207" t="s">
        <v>34</v>
      </c>
      <c r="N66" s="208"/>
      <c r="O66" s="46"/>
      <c r="P66" s="56" t="s">
        <v>11</v>
      </c>
      <c r="Q66" s="46"/>
      <c r="R66" s="56" t="s">
        <v>11</v>
      </c>
      <c r="S66" s="46"/>
      <c r="T66" s="56" t="s">
        <v>11</v>
      </c>
      <c r="U66" s="46"/>
    </row>
    <row r="67" spans="1:23" ht="15" thickBot="1" x14ac:dyDescent="0.35">
      <c r="A67" s="25"/>
      <c r="B67"/>
      <c r="C67" s="95"/>
      <c r="D67" s="217"/>
      <c r="E67" s="217"/>
      <c r="F67" s="23"/>
      <c r="G67" s="1"/>
      <c r="H67" s="50"/>
      <c r="I67" s="54"/>
      <c r="J67"/>
      <c r="L67"/>
      <c r="M67" s="58"/>
      <c r="N67" s="59"/>
      <c r="O67" s="74"/>
      <c r="P67" s="23"/>
      <c r="Q67" s="73"/>
      <c r="R67" s="74"/>
      <c r="S67" s="74"/>
      <c r="T67" s="6"/>
    </row>
    <row r="68" spans="1:23" ht="16.2" thickBot="1" x14ac:dyDescent="0.35">
      <c r="A68" s="25"/>
      <c r="B68"/>
      <c r="C68" s="25"/>
      <c r="D68" s="22"/>
      <c r="E68" s="22"/>
      <c r="F68" s="23"/>
      <c r="G68" s="1"/>
      <c r="H68" s="50"/>
      <c r="I68" s="54"/>
      <c r="J68"/>
      <c r="L68"/>
      <c r="M68" s="197" t="s">
        <v>47</v>
      </c>
      <c r="N68" s="216"/>
      <c r="O68" s="198"/>
      <c r="P68" s="218"/>
      <c r="Q68" s="219"/>
      <c r="R68" s="197" t="s">
        <v>37</v>
      </c>
      <c r="S68" s="216"/>
      <c r="T68" s="212" t="str">
        <f>Q25</f>
      </c>
      <c r="U68" s="213"/>
    </row>
    <row r="69" spans="1:23" ht="15.75" customHeight="1" thickBot="1" x14ac:dyDescent="0.35">
      <c r="A69" s="25"/>
      <c r="B69"/>
      <c r="C69" s="25"/>
      <c r="D69" s="217"/>
      <c r="E69" s="217"/>
      <c r="F69" s="67"/>
      <c r="G69" s="1"/>
      <c r="H69" s="50"/>
      <c r="I69" s="54"/>
      <c r="J69"/>
      <c r="L69"/>
      <c r="M69" s="60"/>
      <c r="N69" s="87"/>
      <c r="O69" s="87"/>
      <c r="P69" s="61"/>
      <c r="Q69" s="62"/>
      <c r="R69" s="62"/>
      <c r="S69" s="62"/>
      <c r="T69" s="60"/>
      <c r="U69" s="60"/>
    </row>
    <row r="70" spans="1:23" ht="15.75" customHeight="1" thickBot="1" x14ac:dyDescent="0.35">
      <c r="A70" s="25"/>
      <c r="B70" s="95"/>
      <c r="C70" s="25"/>
      <c r="D70" s="217"/>
      <c r="E70" s="217"/>
      <c r="F70" s="67"/>
      <c r="G70" s="1"/>
      <c r="H70" s="50"/>
      <c r="I70" s="54"/>
      <c r="J70"/>
      <c r="L70"/>
      <c r="M70" s="207" t="s">
        <v>35</v>
      </c>
      <c r="N70" s="214"/>
      <c r="O70" s="214"/>
      <c r="P70" s="214"/>
      <c r="Q70" s="214"/>
      <c r="R70" s="214"/>
      <c r="S70" s="214"/>
      <c r="T70" s="214"/>
      <c r="U70" s="215"/>
      <c r="V70" s="55"/>
    </row>
    <row r="71" spans="1:23" ht="15" thickBot="1" x14ac:dyDescent="0.35">
      <c r="A71" s="25"/>
      <c r="B71" s="20"/>
      <c r="C71" s="25"/>
      <c r="D71" s="217"/>
      <c r="E71" s="217"/>
      <c r="F71" s="67"/>
      <c r="G71" s="1"/>
      <c r="H71" s="50"/>
      <c r="I71" s="54"/>
      <c r="J71"/>
      <c r="L71" s="53" t="s">
        <v>59</v>
      </c>
      <c r="M71" s="156" t="s">
        <v>55</v>
      </c>
      <c r="N71" s="157"/>
      <c r="O71" s="157"/>
      <c r="P71" s="157" t="s">
        <v>56</v>
      </c>
      <c r="Q71" s="157"/>
      <c r="R71" s="157"/>
      <c r="S71" s="157"/>
      <c r="T71" s="157" t="s">
        <v>57</v>
      </c>
      <c r="U71" s="158" t="s">
        <v>60</v>
      </c>
      <c r="V71" s="170" t="s">
        <v>58</v>
      </c>
      <c r="W71" s="170" t="s">
        <v>50</v>
      </c>
    </row>
    <row r="72" spans="1:23" ht="15.6" x14ac:dyDescent="0.3">
      <c r="A72" s="25"/>
      <c r="B72" s="130"/>
      <c r="C72" s="25"/>
      <c r="D72" s="217"/>
      <c r="E72" s="217"/>
      <c r="F72" s="67"/>
      <c r="G72" s="1"/>
      <c r="H72" s="50"/>
      <c r="I72" s="54"/>
      <c r="J72" s="23"/>
      <c r="L72"/>
      <c r="M72" s="63"/>
      <c r="N72" s="64"/>
      <c r="O72" s="169" t="s">
        <v>43</v>
      </c>
      <c r="P72" s="66"/>
      <c r="Q72" s="65"/>
      <c r="R72" s="226" t="s">
        <v>6</v>
      </c>
      <c r="S72" s="226"/>
      <c r="T72" s="159"/>
      <c r="U72" s="160"/>
      <c r="V72" s="55"/>
    </row>
    <row r="73" spans="1:23" ht="15.6" x14ac:dyDescent="0.3">
      <c r="B73" s="55"/>
      <c r="C73" s="94"/>
      <c r="D73" s="217"/>
      <c r="E73" s="217"/>
      <c r="F73" s="67"/>
      <c r="I73" s="130"/>
      <c r="L73"/>
      <c r="M73" s="89"/>
      <c r="N73" s="90"/>
      <c r="O73" s="18"/>
      <c r="P73" s="91"/>
      <c r="Q73" s="60"/>
      <c r="R73" s="224"/>
      <c r="S73" s="224"/>
      <c r="T73" s="69"/>
      <c r="U73" s="100"/>
      <c r="V73" s="55"/>
    </row>
    <row r="74" spans="1:23" ht="15.6" x14ac:dyDescent="0.3">
      <c r="A74" s="53"/>
      <c r="B74" s="94"/>
      <c r="C74" s="94"/>
      <c r="D74" s="23"/>
      <c r="E74" s="25"/>
      <c r="F74" s="67"/>
      <c r="I74" s="130"/>
      <c r="L74" s="49"/>
      <c r="M74" s="89"/>
      <c r="N74" s="90"/>
      <c r="O74" s="18" t="s">
        <v>43</v>
      </c>
      <c r="P74" s="91"/>
      <c r="Q74" s="60"/>
      <c r="R74" s="224" t="s">
        <v>10</v>
      </c>
      <c r="S74" s="224"/>
      <c r="T74" s="69"/>
      <c r="U74" s="100"/>
      <c r="V74" s="55"/>
    </row>
    <row r="75" spans="1:23" ht="15.6" x14ac:dyDescent="0.3">
      <c r="L75" s="49"/>
      <c r="M75" s="89"/>
      <c r="N75" s="90"/>
      <c r="O75" s="147"/>
      <c r="P75" s="91"/>
      <c r="Q75" s="60"/>
      <c r="R75" s="224"/>
      <c r="S75" s="224"/>
      <c r="T75" s="69"/>
      <c r="U75" s="100"/>
      <c r="V75" s="55"/>
    </row>
    <row r="76" spans="1:23" ht="15.6" x14ac:dyDescent="0.3">
      <c r="L76" s="49"/>
      <c r="M76" s="163" t="s">
        <v>61</v>
      </c>
      <c r="N76" s="164"/>
      <c r="O76" s="165"/>
      <c r="P76" s="166"/>
      <c r="Q76" s="167"/>
      <c r="R76" s="225"/>
      <c r="S76" s="225"/>
      <c r="T76" s="222"/>
      <c r="U76" s="223"/>
      <c r="V76" s="55"/>
    </row>
    <row r="77" spans="1:23" ht="15.6" x14ac:dyDescent="0.3">
      <c r="L77" s="49"/>
      <c r="M77" s="163" t="s">
        <v>62</v>
      </c>
      <c r="N77" s="164"/>
      <c r="O77" s="165"/>
      <c r="P77" s="166"/>
      <c r="Q77" s="167"/>
      <c r="R77" s="168"/>
      <c r="S77" s="168"/>
      <c r="T77" s="222"/>
      <c r="U77" s="223"/>
      <c r="V77" s="55"/>
    </row>
    <row r="78" spans="1:23" ht="16.2" thickBot="1" x14ac:dyDescent="0.35">
      <c r="L78" s="49"/>
      <c r="M78" s="99"/>
      <c r="N78" s="68"/>
      <c r="O78" s="147"/>
      <c r="P78" s="91"/>
      <c r="Q78" s="60"/>
      <c r="R78" s="60"/>
      <c r="S78" s="60"/>
      <c r="T78" s="69"/>
      <c r="U78" s="100"/>
      <c r="V78" s="55"/>
    </row>
    <row r="79" spans="1:23" ht="16.2" thickBot="1" x14ac:dyDescent="0.35">
      <c r="L79" s="49"/>
      <c r="M79" s="106" t="s">
        <v>11</v>
      </c>
      <c r="N79" s="107">
        <f>SUM(N77:N78)</f>
        <v>0</v>
      </c>
      <c r="O79" s="101"/>
      <c r="P79" s="103"/>
      <c r="Q79" s="102"/>
      <c r="R79" s="102"/>
      <c r="S79" s="102"/>
      <c r="T79" s="104"/>
      <c r="U79" s="105"/>
      <c r="V79" s="55"/>
    </row>
    <row r="80" spans="1:23" x14ac:dyDescent="0.3">
      <c r="M80"/>
      <c r="O80" s="5"/>
      <c r="Q80"/>
      <c r="S80"/>
      <c r="T80" s="6"/>
      <c r="V80" s="55"/>
    </row>
    <row r="81" spans="1:23" x14ac:dyDescent="0.3">
      <c r="O81"/>
      <c r="V81" s="55"/>
    </row>
    <row r="82" spans="13:22" x14ac:dyDescent="0.3">
      <c r="M82" s="23"/>
      <c r="N82" s="23"/>
      <c r="O82" s="23"/>
      <c r="P82" s="23"/>
      <c r="Q82" s="23"/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13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  <row r="113" spans="22:22" x14ac:dyDescent="0.3">
      <c r="V113" s="55"/>
    </row>
  </sheetData>
  <mergeCells count="81">
    <mergeCell ref="T77:U77"/>
    <mergeCell ref="R75:S75"/>
    <mergeCell ref="B13:D13"/>
    <mergeCell ref="B14:D14"/>
    <mergeCell ref="B15:D15"/>
    <mergeCell ref="B16:D16"/>
    <mergeCell ref="B17:D17"/>
    <mergeCell ref="R76:S76"/>
    <mergeCell ref="R72:S72"/>
    <mergeCell ref="R74:S74"/>
    <mergeCell ref="R73:S73"/>
    <mergeCell ref="T76:U76"/>
    <mergeCell ref="M66:N66"/>
    <mergeCell ref="D72:E72"/>
    <mergeCell ref="D73:E73"/>
    <mergeCell ref="D53:E53"/>
    <mergeCell ref="B9:D9"/>
    <mergeCell ref="B11:D11"/>
    <mergeCell ref="B12:D12"/>
    <mergeCell ref="D49:E49"/>
    <mergeCell ref="D50:E50"/>
    <mergeCell ref="D61:E61"/>
    <mergeCell ref="D67:E67"/>
    <mergeCell ref="D54:E54"/>
    <mergeCell ref="D52:E52"/>
    <mergeCell ref="D66:E66"/>
    <mergeCell ref="D55:E55"/>
    <mergeCell ref="D65:E65"/>
    <mergeCell ref="T68:U68"/>
    <mergeCell ref="M70:U70"/>
    <mergeCell ref="R68:S68"/>
    <mergeCell ref="D69:E69"/>
    <mergeCell ref="D71:E71"/>
    <mergeCell ref="P68:Q68"/>
    <mergeCell ref="D70:E70"/>
    <mergeCell ref="M68:O68"/>
    <mergeCell ref="D48:E48"/>
    <mergeCell ref="D46:E46"/>
    <mergeCell ref="D47:E47"/>
    <mergeCell ref="M32:N32"/>
    <mergeCell ref="M39:N39"/>
    <mergeCell ref="M35:O35"/>
    <mergeCell ref="D45:E45"/>
    <mergeCell ref="O32:P32"/>
    <mergeCell ref="P35:Q35"/>
    <mergeCell ref="T30:U30"/>
    <mergeCell ref="Q32:S32"/>
    <mergeCell ref="D44:E44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T25:U25"/>
    <mergeCell ref="M25:N25"/>
    <mergeCell ref="O25:P25"/>
    <mergeCell ref="Q25:S25"/>
    <mergeCell ref="O30:P30"/>
    <mergeCell ref="Q30:S30"/>
    <mergeCell ref="B10:D10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2026-06-24T22:55:06Z</dcterms:modified>
</cp:coreProperties>
</file>