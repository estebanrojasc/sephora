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<sst xmlns="http://schemas.openxmlformats.org/spreadsheetml/2006/main" count="137" uniqueCount="108">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</sst>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 t="inlineStr">
        <is>
          <t xml:space="preserve">CRISTIAN</t>
        </is>
      </c>
      <c r="C1" s="120" t="inlineStr">
        <is>
          <t xml:space="preserve">CRISTIAN</t>
        </is>
      </c>
      <c r="D1" s="120" t="inlineStr">
        <is>
          <t xml:space="preserve">CRISTIAN</t>
        </is>
      </c>
      <c r="E1" s="112" t="inlineStr">
        <is>
          <t xml:space="preserve">CRISTIAN</t>
        </is>
      </c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260006341</t>
        </is>
      </c>
      <c r="C5" s="129" t="inlineStr">
        <is>
          <t xml:space="preserve">260006342</t>
        </is>
      </c>
      <c r="D5" s="129" t="inlineStr">
        <is>
          <t xml:space="preserve">260006343</t>
        </is>
      </c>
      <c r="E5" s="129" t="inlineStr">
        <is>
          <t xml:space="preserve">260006344</t>
        </is>
      </c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>
        <v>5</v>
      </c>
      <c r="C6" s="120">
        <v>5</v>
      </c>
      <c r="D6" s="120">
        <v>5</v>
      </c>
      <c r="E6" s="120">
        <v>5</v>
      </c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>
        <v>1000000</v>
      </c>
      <c r="C7" s="164">
        <v>1000000</v>
      </c>
      <c r="D7" s="164">
        <v>1000000</v>
      </c>
      <c r="E7" s="164">
        <v>1000000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>
        <v>127092</v>
      </c>
      <c r="C12" s="165">
        <v>972618</v>
      </c>
      <c r="D12" s="165">
        <v>368449</v>
      </c>
      <c r="E12" s="157">
        <v>92552</v>
      </c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>
        <v>20</v>
      </c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>
        <v>4000000</v>
      </c>
      <c r="W24" s="118">
        <v>20</v>
      </c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/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/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>
        <v>4000000</v>
      </c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>
        <v>1560711</v>
      </c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>
        <v>4000000</v>
      </c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/>
      <c r="N37" s="38"/>
      <c r="O37" s="39"/>
      <c r="P37" s="151">
        <v>605655</v>
      </c>
      <c r="Q37" s="77">
        <v>10000</v>
      </c>
      <c r="R37" s="153"/>
      <c r="S37" s="78"/>
      <c r="T37" s="152"/>
      <c r="U37" s="74"/>
      <c r="V37" s="1"/>
      <c r="W37" s="18" t="s">
        <v>14</v>
      </c>
    </row>
    <row r="38" spans="1:23" x14ac:dyDescent="0.3">
      <c r="A38" s="1"/>
      <c r="I38" s="41"/>
      <c r="J38" s="27"/>
      <c r="K38" s="24"/>
      <c r="L38" s="105"/>
      <c r="M38" s="37"/>
      <c r="N38" s="38"/>
      <c r="O38" s="39"/>
      <c r="P38" s="152">
        <v>605656</v>
      </c>
      <c r="Q38" s="66">
        <v>10001</v>
      </c>
      <c r="R38" s="154"/>
      <c r="S38" s="74"/>
      <c r="T38" s="152"/>
      <c r="U38" s="68"/>
      <c r="V38" s="1"/>
      <c r="W38" s="1" t="s">
        <v>14</v>
      </c>
    </row>
    <row r="39" spans="1:23" x14ac:dyDescent="0.3">
      <c r="A39" s="1"/>
      <c r="I39" s="41"/>
      <c r="J39" s="27"/>
      <c r="K39" s="24"/>
      <c r="L39" s="105"/>
      <c r="M39" s="37"/>
      <c r="N39" s="38"/>
      <c r="O39" s="39"/>
      <c r="P39" s="152">
        <v>605657</v>
      </c>
      <c r="Q39" s="66">
        <v>10002</v>
      </c>
      <c r="R39" s="154"/>
      <c r="S39" s="74"/>
      <c r="T39" s="152"/>
      <c r="U39" s="68"/>
      <c r="V39" s="1"/>
      <c r="W39" s="1" t="s">
        <v>14</v>
      </c>
    </row>
    <row r="40" spans="1:23" x14ac:dyDescent="0.3">
      <c r="A40" s="1"/>
      <c r="I40" s="41"/>
      <c r="J40" s="27"/>
      <c r="K40" s="24"/>
      <c r="L40" s="105"/>
      <c r="M40" s="37"/>
      <c r="N40" s="38"/>
      <c r="O40" s="39"/>
      <c r="P40" s="152">
        <v>605658</v>
      </c>
      <c r="Q40" s="66">
        <v>10003</v>
      </c>
      <c r="R40" s="154"/>
      <c r="S40" s="74"/>
      <c r="T40" s="152"/>
      <c r="U40" s="68"/>
      <c r="V40" s="1"/>
      <c r="W40" s="1" t="s">
        <v>14</v>
      </c>
    </row>
    <row r="41" spans="1:23" x14ac:dyDescent="0.3">
      <c r="A41" s="1"/>
      <c r="I41" s="41"/>
      <c r="J41" s="27"/>
      <c r="K41" s="24"/>
      <c r="L41" s="105"/>
      <c r="M41" s="37"/>
      <c r="N41" s="38"/>
      <c r="O41" s="39"/>
      <c r="P41" s="152">
        <v>605659</v>
      </c>
      <c r="Q41" s="66">
        <v>10004</v>
      </c>
      <c r="R41" s="154"/>
      <c r="S41" s="74"/>
      <c r="T41" s="152"/>
      <c r="U41" s="68"/>
      <c r="V41" s="1"/>
      <c r="W41" s="1" t="s">
        <v>14</v>
      </c>
    </row>
    <row r="42" spans="1:23" x14ac:dyDescent="0.3">
      <c r="A42" s="1"/>
      <c r="I42" s="41"/>
      <c r="J42" s="27"/>
      <c r="K42" s="24"/>
      <c r="L42" s="105"/>
      <c r="M42" s="37"/>
      <c r="N42" s="38"/>
      <c r="O42" s="39"/>
      <c r="P42" s="152">
        <v>605660</v>
      </c>
      <c r="Q42" s="66">
        <v>10005</v>
      </c>
      <c r="R42" s="154"/>
      <c r="S42" s="74"/>
      <c r="T42" s="152"/>
      <c r="U42" s="68"/>
      <c r="V42" s="1"/>
      <c r="W42" s="1" t="s">
        <v>14</v>
      </c>
    </row>
    <row r="43" spans="1:23" x14ac:dyDescent="0.3">
      <c r="A43" s="1"/>
      <c r="I43" s="41"/>
      <c r="J43" s="27"/>
      <c r="K43" s="24"/>
      <c r="L43" s="105"/>
      <c r="M43" s="37"/>
      <c r="N43" s="38"/>
      <c r="O43" s="39"/>
      <c r="P43" s="152">
        <v>605661</v>
      </c>
      <c r="Q43" s="66">
        <v>10006</v>
      </c>
      <c r="R43" s="154"/>
      <c r="S43" s="74"/>
      <c r="T43" s="152"/>
      <c r="U43" s="68"/>
      <c r="V43" s="1"/>
      <c r="W43" s="1" t="s">
        <v>14</v>
      </c>
    </row>
    <row r="44" spans="1:23" x14ac:dyDescent="0.3">
      <c r="A44" s="1"/>
      <c r="I44" s="41"/>
      <c r="J44" s="27"/>
      <c r="K44" s="24"/>
      <c r="L44" s="105"/>
      <c r="M44" s="37"/>
      <c r="N44" s="38"/>
      <c r="O44" s="39"/>
      <c r="P44" s="152">
        <v>605662</v>
      </c>
      <c r="Q44" s="66">
        <v>10007</v>
      </c>
      <c r="R44" s="154"/>
      <c r="S44" s="74"/>
      <c r="T44" s="152"/>
      <c r="U44" s="68"/>
      <c r="V44" s="1"/>
      <c r="W44" s="1" t="s">
        <v>14</v>
      </c>
    </row>
    <row r="45" spans="1:23" x14ac:dyDescent="0.3">
      <c r="A45" s="1"/>
      <c r="I45" s="41"/>
      <c r="J45" s="27"/>
      <c r="K45" s="24"/>
      <c r="L45" s="105"/>
      <c r="M45" s="37"/>
      <c r="N45" s="38"/>
      <c r="O45" s="39"/>
      <c r="P45" s="152">
        <v>605663</v>
      </c>
      <c r="Q45" s="66">
        <v>10008</v>
      </c>
      <c r="R45" s="154"/>
      <c r="S45" s="74"/>
      <c r="T45" s="152"/>
      <c r="U45" s="68"/>
      <c r="V45" s="1"/>
      <c r="W45" s="1" t="s">
        <v>14</v>
      </c>
    </row>
    <row r="46" spans="1:23" x14ac:dyDescent="0.3">
      <c r="A46" s="1"/>
      <c r="I46" s="41"/>
      <c r="J46" s="27"/>
      <c r="K46" s="24"/>
      <c r="L46" s="105"/>
      <c r="M46" s="37"/>
      <c r="N46" s="38"/>
      <c r="O46" s="39"/>
      <c r="P46" s="152">
        <v>605664</v>
      </c>
      <c r="Q46" s="66">
        <v>10009</v>
      </c>
      <c r="R46" s="154"/>
      <c r="S46" s="74"/>
      <c r="T46" s="152"/>
      <c r="U46" s="68"/>
      <c r="V46" s="1"/>
      <c r="W46" s="1" t="s">
        <v>14</v>
      </c>
    </row>
    <row r="47" spans="1:23" x14ac:dyDescent="0.3">
      <c r="A47" s="1"/>
      <c r="I47" s="41"/>
      <c r="J47" s="27"/>
      <c r="K47" s="24"/>
      <c r="L47" s="105"/>
      <c r="M47" s="37"/>
      <c r="N47" s="38"/>
      <c r="O47" s="39"/>
      <c r="P47" s="152">
        <v>605665</v>
      </c>
      <c r="Q47" s="66">
        <v>10010</v>
      </c>
      <c r="R47" s="154"/>
      <c r="S47" s="74"/>
      <c r="T47" s="152"/>
      <c r="U47" s="68"/>
      <c r="V47" s="1"/>
      <c r="W47" s="1" t="s">
        <v>14</v>
      </c>
    </row>
    <row r="48" spans="1:23" x14ac:dyDescent="0.3">
      <c r="A48" s="1"/>
      <c r="I48" s="41"/>
      <c r="J48" s="27"/>
      <c r="K48" s="24"/>
      <c r="L48" s="105"/>
      <c r="M48" s="37"/>
      <c r="N48" s="38"/>
      <c r="O48" s="39"/>
      <c r="P48" s="152">
        <v>605666</v>
      </c>
      <c r="Q48" s="66">
        <v>10011</v>
      </c>
      <c r="R48" s="154"/>
      <c r="S48" s="74"/>
      <c r="T48" s="152"/>
      <c r="U48" s="68"/>
      <c r="V48" s="1"/>
      <c r="W48" s="1" t="s">
        <v>14</v>
      </c>
    </row>
    <row r="49" spans="1:23" x14ac:dyDescent="0.3">
      <c r="A49" s="1"/>
      <c r="I49" s="41"/>
      <c r="J49" s="27"/>
      <c r="K49" s="24"/>
      <c r="L49" s="105"/>
      <c r="M49" s="37"/>
      <c r="N49" s="38"/>
      <c r="O49" s="39"/>
      <c r="P49" s="152">
        <v>605667</v>
      </c>
      <c r="Q49" s="66">
        <v>10012</v>
      </c>
      <c r="R49" s="154"/>
      <c r="S49" s="74"/>
      <c r="T49" s="152"/>
      <c r="U49" s="68"/>
      <c r="V49" s="1"/>
      <c r="W49" s="1" t="s">
        <v>14</v>
      </c>
    </row>
    <row r="50" spans="1:23" x14ac:dyDescent="0.3">
      <c r="A50" s="1"/>
      <c r="I50" s="41"/>
      <c r="J50" s="27"/>
      <c r="K50" s="24"/>
      <c r="L50" s="105"/>
      <c r="M50" s="37"/>
      <c r="N50" s="38"/>
      <c r="O50" s="39"/>
      <c r="P50" s="152">
        <v>605668</v>
      </c>
      <c r="Q50" s="66">
        <v>10013</v>
      </c>
      <c r="R50" s="154"/>
      <c r="S50" s="74"/>
      <c r="T50" s="152"/>
      <c r="U50" s="68"/>
      <c r="V50" s="1"/>
      <c r="W50" s="1" t="s">
        <v>14</v>
      </c>
    </row>
    <row r="51" spans="1:23" x14ac:dyDescent="0.3">
      <c r="A51" s="1"/>
      <c r="I51" s="41"/>
      <c r="J51" s="27"/>
      <c r="K51" s="24"/>
      <c r="L51" s="105"/>
      <c r="M51" s="37"/>
      <c r="N51" s="38"/>
      <c r="O51" s="39"/>
      <c r="P51" s="152">
        <v>605669</v>
      </c>
      <c r="Q51" s="66">
        <v>10014</v>
      </c>
      <c r="R51" s="154"/>
      <c r="S51" s="74"/>
      <c r="T51" s="152"/>
      <c r="U51" s="68"/>
      <c r="V51" s="1"/>
      <c r="W51" s="1" t="s">
        <v>14</v>
      </c>
    </row>
    <row r="52" spans="1:23" x14ac:dyDescent="0.3">
      <c r="A52" s="1"/>
      <c r="I52" s="41"/>
      <c r="J52" s="27"/>
      <c r="K52" s="24"/>
      <c r="L52" s="105"/>
      <c r="M52" s="37"/>
      <c r="N52" s="38"/>
      <c r="O52" s="39"/>
      <c r="P52" s="152">
        <v>605670</v>
      </c>
      <c r="Q52" s="66">
        <v>10015</v>
      </c>
      <c r="R52" s="154"/>
      <c r="S52" s="74"/>
      <c r="T52" s="152"/>
      <c r="U52" s="68"/>
      <c r="V52" s="1"/>
      <c r="W52" s="1" t="s">
        <v>14</v>
      </c>
    </row>
    <row r="53" spans="1:23" x14ac:dyDescent="0.3">
      <c r="A53" s="1"/>
      <c r="I53" s="41"/>
      <c r="J53" s="27"/>
      <c r="K53" s="24"/>
      <c r="L53" s="105"/>
      <c r="M53" s="37"/>
      <c r="N53" s="38"/>
      <c r="O53" s="39"/>
      <c r="P53" s="152">
        <v>605671</v>
      </c>
      <c r="Q53" s="66">
        <v>10016</v>
      </c>
      <c r="R53" s="154"/>
      <c r="S53" s="74"/>
      <c r="T53" s="152"/>
      <c r="U53" s="68"/>
      <c r="V53" s="1"/>
      <c r="W53" s="1" t="s">
        <v>14</v>
      </c>
    </row>
    <row r="54" spans="1:23" x14ac:dyDescent="0.3">
      <c r="A54" s="1"/>
      <c r="I54" s="41"/>
      <c r="J54" s="27"/>
      <c r="K54" s="24"/>
      <c r="L54" s="105"/>
      <c r="M54" s="37"/>
      <c r="N54" s="38"/>
      <c r="O54" s="39"/>
      <c r="P54" s="152">
        <v>605655</v>
      </c>
      <c r="Q54" s="66">
        <v>10000</v>
      </c>
      <c r="R54" s="154"/>
      <c r="S54" s="74"/>
      <c r="T54" s="152"/>
      <c r="U54" s="68"/>
      <c r="V54" s="1"/>
      <c r="W54" s="1" t="s">
        <v>14</v>
      </c>
    </row>
    <row r="55" spans="1:23" x14ac:dyDescent="0.3">
      <c r="A55" s="1"/>
      <c r="I55" s="41"/>
      <c r="J55" s="27"/>
      <c r="K55" s="24"/>
      <c r="L55" s="105"/>
      <c r="M55" s="37"/>
      <c r="N55" s="38"/>
      <c r="O55" s="39"/>
      <c r="P55" s="152">
        <v>605656</v>
      </c>
      <c r="Q55" s="66">
        <v>10001</v>
      </c>
      <c r="R55" s="154"/>
      <c r="S55" s="74"/>
      <c r="T55" s="152"/>
      <c r="U55" s="68"/>
      <c r="V55" s="1"/>
      <c r="W55" s="1" t="s">
        <v>14</v>
      </c>
    </row>
    <row r="56" spans="1:23" x14ac:dyDescent="0.3">
      <c r="A56" s="1"/>
      <c r="I56" s="41"/>
      <c r="J56" s="27"/>
      <c r="K56" s="24"/>
      <c r="L56" s="105"/>
      <c r="M56" s="37"/>
      <c r="N56" s="38"/>
      <c r="O56" s="39"/>
      <c r="P56" s="152">
        <v>605657</v>
      </c>
      <c r="Q56" s="66">
        <v>10002</v>
      </c>
      <c r="R56" s="154"/>
      <c r="S56" s="74"/>
      <c r="T56" s="152"/>
      <c r="U56" s="68"/>
      <c r="V56" s="1"/>
      <c r="W56" s="1" t="s">
        <v>14</v>
      </c>
    </row>
    <row r="57" spans="1:23" x14ac:dyDescent="0.3">
      <c r="A57" s="1"/>
      <c r="I57" s="41"/>
      <c r="J57" s="27"/>
      <c r="K57" s="24"/>
      <c r="L57" s="105"/>
      <c r="M57" s="37"/>
      <c r="N57" s="38"/>
      <c r="O57" s="39"/>
      <c r="P57" s="152">
        <v>605658</v>
      </c>
      <c r="Q57" s="66">
        <v>10003</v>
      </c>
      <c r="R57" s="154"/>
      <c r="S57" s="74"/>
      <c r="T57" s="152"/>
      <c r="U57" s="68"/>
      <c r="V57" s="1"/>
      <c r="W57" s="1" t="s">
        <v>14</v>
      </c>
    </row>
    <row r="58" spans="1:23" x14ac:dyDescent="0.3">
      <c r="A58" s="1"/>
      <c r="I58" s="41"/>
      <c r="J58" s="27"/>
      <c r="K58" s="24"/>
      <c r="L58" s="105"/>
      <c r="M58" s="37"/>
      <c r="N58" s="38"/>
      <c r="O58" s="39"/>
      <c r="P58" s="152">
        <v>605659</v>
      </c>
      <c r="Q58" s="66">
        <v>10004</v>
      </c>
      <c r="R58" s="154"/>
      <c r="S58" s="74"/>
      <c r="T58" s="152"/>
      <c r="U58" s="68"/>
      <c r="V58" s="1"/>
      <c r="W58" s="1" t="s">
        <v>14</v>
      </c>
    </row>
    <row r="59" spans="1:23" x14ac:dyDescent="0.3">
      <c r="A59" s="1"/>
      <c r="I59" s="41"/>
      <c r="J59" s="27"/>
      <c r="K59" s="24"/>
      <c r="L59" s="105"/>
      <c r="M59" s="37"/>
      <c r="N59" s="38"/>
      <c r="O59" s="39"/>
      <c r="P59" s="152">
        <v>605660</v>
      </c>
      <c r="Q59" s="66">
        <v>10005</v>
      </c>
      <c r="R59" s="154"/>
      <c r="S59" s="74"/>
      <c r="T59" s="152"/>
      <c r="U59" s="68"/>
      <c r="V59" s="1"/>
      <c r="W59" s="1" t="s">
        <v>14</v>
      </c>
    </row>
    <row r="60" spans="1:23" x14ac:dyDescent="0.3">
      <c r="A60" s="1"/>
      <c r="I60" s="41"/>
      <c r="J60" s="27"/>
      <c r="K60" s="24"/>
      <c r="L60" s="105"/>
      <c r="M60" s="37"/>
      <c r="N60" s="38"/>
      <c r="O60" s="39"/>
      <c r="P60" s="152">
        <v>605661</v>
      </c>
      <c r="Q60" s="66">
        <v>10006</v>
      </c>
      <c r="R60" s="154"/>
      <c r="S60" s="74"/>
      <c r="T60" s="152"/>
      <c r="U60" s="68"/>
      <c r="V60" s="1"/>
      <c r="W60" s="1" t="s">
        <v>14</v>
      </c>
    </row>
    <row r="61" spans="1:23" x14ac:dyDescent="0.3">
      <c r="A61" s="1"/>
      <c r="I61" s="41"/>
      <c r="J61" s="27"/>
      <c r="K61" s="24"/>
      <c r="L61" s="105"/>
      <c r="M61" s="37"/>
      <c r="N61" s="38"/>
      <c r="O61" s="39"/>
      <c r="P61" s="152">
        <v>605662</v>
      </c>
      <c r="Q61" s="66">
        <v>10007</v>
      </c>
      <c r="R61" s="154"/>
      <c r="S61" s="74"/>
      <c r="T61" s="152"/>
      <c r="U61" s="68"/>
      <c r="V61" s="1"/>
      <c r="W61" s="1" t="s">
        <v>14</v>
      </c>
    </row>
    <row r="62" spans="1:23" x14ac:dyDescent="0.3">
      <c r="A62" s="1"/>
      <c r="I62" s="41"/>
      <c r="J62" s="27"/>
      <c r="K62" s="24"/>
      <c r="L62" s="105"/>
      <c r="M62" s="37"/>
      <c r="N62" s="38"/>
      <c r="O62" s="39"/>
      <c r="P62" s="152">
        <v>605663</v>
      </c>
      <c r="Q62" s="66">
        <v>10008</v>
      </c>
      <c r="R62" s="154"/>
      <c r="S62" s="74"/>
      <c r="T62" s="152"/>
      <c r="U62" s="68"/>
      <c r="V62" s="1"/>
      <c r="W62" s="1" t="s">
        <v>14</v>
      </c>
    </row>
    <row r="63" spans="1:23" x14ac:dyDescent="0.3">
      <c r="A63" s="1"/>
      <c r="I63" s="41"/>
      <c r="J63" s="27"/>
      <c r="K63" s="24"/>
      <c r="L63" s="105"/>
      <c r="M63" s="37"/>
      <c r="N63" s="38"/>
      <c r="O63" s="39"/>
      <c r="P63" s="152">
        <v>605664</v>
      </c>
      <c r="Q63" s="66">
        <v>10009</v>
      </c>
      <c r="R63" s="154"/>
      <c r="S63" s="74"/>
      <c r="T63" s="152"/>
      <c r="U63" s="68"/>
      <c r="V63" s="1"/>
      <c r="W63" s="1" t="s">
        <v>14</v>
      </c>
    </row>
    <row r="64" spans="1:23" x14ac:dyDescent="0.3">
      <c r="A64" s="1"/>
      <c r="I64" s="41"/>
      <c r="J64" s="27"/>
      <c r="K64" s="24"/>
      <c r="L64" s="105"/>
      <c r="M64" s="37"/>
      <c r="N64" s="38"/>
      <c r="O64" s="39"/>
      <c r="P64" s="152">
        <v>605665</v>
      </c>
      <c r="Q64" s="66">
        <v>10010</v>
      </c>
      <c r="R64" s="154"/>
      <c r="S64" s="74"/>
      <c r="T64" s="152"/>
      <c r="U64" s="68"/>
      <c r="V64" s="1"/>
      <c r="W64" s="1" t="s">
        <v>14</v>
      </c>
    </row>
    <row r="65" spans="1:23" x14ac:dyDescent="0.3">
      <c r="A65" s="1"/>
      <c r="I65" s="41"/>
      <c r="J65" s="27"/>
      <c r="K65" s="24"/>
      <c r="L65" s="105"/>
      <c r="M65" s="37"/>
      <c r="N65" s="38"/>
      <c r="O65" s="39"/>
      <c r="P65" s="152">
        <v>605666</v>
      </c>
      <c r="Q65" s="66">
        <v>10011</v>
      </c>
      <c r="R65" s="154"/>
      <c r="S65" s="74"/>
      <c r="T65" s="152"/>
      <c r="U65" s="68"/>
      <c r="V65" s="1"/>
      <c r="W65" s="1" t="s">
        <v>14</v>
      </c>
    </row>
    <row r="66" spans="1:23" x14ac:dyDescent="0.3">
      <c r="A66" s="1"/>
      <c r="I66" s="41"/>
      <c r="J66" s="27"/>
      <c r="K66" s="24"/>
      <c r="L66" s="105"/>
      <c r="M66" s="37"/>
      <c r="N66" s="38"/>
      <c r="O66" s="39"/>
      <c r="P66" s="152">
        <v>605667</v>
      </c>
      <c r="Q66" s="66">
        <v>10012</v>
      </c>
      <c r="R66" s="154"/>
      <c r="S66" s="74"/>
      <c r="T66" s="152"/>
      <c r="U66" s="68"/>
      <c r="V66" s="1"/>
      <c r="W66" s="1" t="s">
        <v>14</v>
      </c>
    </row>
    <row r="67" spans="1:23" x14ac:dyDescent="0.3">
      <c r="A67" s="1"/>
      <c r="I67" s="41"/>
      <c r="J67" s="27"/>
      <c r="K67" s="24"/>
      <c r="L67" s="105"/>
      <c r="M67" s="37"/>
      <c r="N67" s="38"/>
      <c r="O67" s="39"/>
      <c r="P67" s="152">
        <v>605668</v>
      </c>
      <c r="Q67" s="66">
        <v>10013</v>
      </c>
      <c r="R67" s="154"/>
      <c r="S67" s="74"/>
      <c r="T67" s="152"/>
      <c r="U67" s="68"/>
      <c r="V67" s="1"/>
      <c r="W67" s="1" t="s">
        <v>14</v>
      </c>
    </row>
    <row r="68" spans="1:23" x14ac:dyDescent="0.3">
      <c r="A68" s="1"/>
      <c r="I68" s="41"/>
      <c r="J68" s="27"/>
      <c r="K68" s="24"/>
      <c r="L68" s="105"/>
      <c r="M68" s="37"/>
      <c r="N68" s="38"/>
      <c r="O68" s="39"/>
      <c r="P68" s="152">
        <v>605669</v>
      </c>
      <c r="Q68" s="66">
        <v>10014</v>
      </c>
      <c r="R68" s="154"/>
      <c r="S68" s="74"/>
      <c r="T68" s="152"/>
      <c r="U68" s="68"/>
      <c r="V68" s="1"/>
      <c r="W68" s="1" t="s">
        <v>14</v>
      </c>
    </row>
    <row r="69" spans="1:23" x14ac:dyDescent="0.3">
      <c r="A69" s="1"/>
      <c r="I69" s="41"/>
      <c r="J69" s="27"/>
      <c r="K69" s="24"/>
      <c r="L69" s="105"/>
      <c r="M69" s="37"/>
      <c r="N69" s="38"/>
      <c r="O69" s="39"/>
      <c r="P69" s="152">
        <v>605670</v>
      </c>
      <c r="Q69" s="66">
        <v>10015</v>
      </c>
      <c r="R69" s="154"/>
      <c r="S69" s="74"/>
      <c r="T69" s="152"/>
      <c r="U69" s="68"/>
      <c r="V69" s="1"/>
      <c r="W69" s="1" t="s">
        <v>14</v>
      </c>
    </row>
    <row r="70" spans="1:23" x14ac:dyDescent="0.3">
      <c r="A70" s="1"/>
      <c r="I70" s="41"/>
      <c r="J70" s="27"/>
      <c r="K70" s="24"/>
      <c r="L70" s="105"/>
      <c r="M70" s="37"/>
      <c r="N70" s="38"/>
      <c r="O70" s="39"/>
      <c r="P70" s="152">
        <v>605671</v>
      </c>
      <c r="Q70" s="66">
        <v>10016</v>
      </c>
      <c r="R70" s="154"/>
      <c r="S70" s="74"/>
      <c r="T70" s="152"/>
      <c r="U70" s="68"/>
      <c r="V70" s="1"/>
      <c r="W70" s="1" t="s">
        <v>14</v>
      </c>
    </row>
    <row r="71" spans="1:23" x14ac:dyDescent="0.3">
      <c r="A71" s="1"/>
      <c r="I71" s="41"/>
      <c r="J71" s="27"/>
      <c r="K71" s="24"/>
      <c r="L71" s="105"/>
      <c r="M71" s="37"/>
      <c r="N71" s="38"/>
      <c r="O71" s="39"/>
      <c r="P71" s="152">
        <v>605655</v>
      </c>
      <c r="Q71" s="66">
        <v>10000</v>
      </c>
      <c r="R71" s="154"/>
      <c r="S71" s="74"/>
      <c r="T71" s="152"/>
      <c r="U71" s="68"/>
      <c r="V71" s="1"/>
      <c r="W71" s="1" t="s">
        <v>14</v>
      </c>
    </row>
    <row r="72" spans="1:23" x14ac:dyDescent="0.3">
      <c r="A72" s="1"/>
      <c r="I72" s="41"/>
      <c r="J72" s="27"/>
      <c r="K72" s="24"/>
      <c r="L72" s="105"/>
      <c r="M72" s="37"/>
      <c r="N72" s="38"/>
      <c r="O72" s="39"/>
      <c r="P72" s="152">
        <v>605656</v>
      </c>
      <c r="Q72" s="66">
        <v>10001</v>
      </c>
      <c r="R72" s="154"/>
      <c r="S72" s="74"/>
      <c r="T72" s="152"/>
      <c r="U72" s="68"/>
      <c r="V72" s="1"/>
      <c r="W72" s="1" t="s">
        <v>14</v>
      </c>
    </row>
    <row r="73" spans="1:23" x14ac:dyDescent="0.3">
      <c r="A73" s="1"/>
      <c r="I73" s="41"/>
      <c r="J73" s="27"/>
      <c r="K73" s="24"/>
      <c r="L73" s="105"/>
      <c r="M73" s="37"/>
      <c r="N73" s="38"/>
      <c r="O73" s="39"/>
      <c r="P73" s="152">
        <v>605657</v>
      </c>
      <c r="Q73" s="66">
        <v>10002</v>
      </c>
      <c r="R73" s="154"/>
      <c r="S73" s="74"/>
      <c r="T73" s="152"/>
      <c r="U73" s="68"/>
      <c r="V73" s="1"/>
      <c r="W73" s="1" t="s">
        <v>14</v>
      </c>
    </row>
    <row r="74" spans="1:23" x14ac:dyDescent="0.3">
      <c r="A74" s="1"/>
      <c r="I74" s="41"/>
      <c r="J74" s="27"/>
      <c r="K74" s="24"/>
      <c r="L74" s="105"/>
      <c r="M74" s="37"/>
      <c r="N74" s="38"/>
      <c r="O74" s="39"/>
      <c r="P74" s="152">
        <v>605658</v>
      </c>
      <c r="Q74" s="66">
        <v>10003</v>
      </c>
      <c r="R74" s="154"/>
      <c r="S74" s="74"/>
      <c r="T74" s="152"/>
      <c r="U74" s="68"/>
      <c r="V74" s="1"/>
      <c r="W74" s="1" t="s">
        <v>14</v>
      </c>
    </row>
    <row r="75" spans="1:23" x14ac:dyDescent="0.3">
      <c r="A75" s="1"/>
      <c r="I75" s="41"/>
      <c r="J75" s="27"/>
      <c r="K75" s="24"/>
      <c r="L75" s="105"/>
      <c r="M75" s="37"/>
      <c r="N75" s="38"/>
      <c r="O75" s="39"/>
      <c r="P75" s="152">
        <v>605659</v>
      </c>
      <c r="Q75" s="66">
        <v>10004</v>
      </c>
      <c r="R75" s="154"/>
      <c r="S75" s="74"/>
      <c r="T75" s="152"/>
      <c r="U75" s="68"/>
      <c r="V75" s="1"/>
      <c r="W75" s="1" t="s">
        <v>14</v>
      </c>
    </row>
    <row r="76" spans="1:23" x14ac:dyDescent="0.3">
      <c r="A76" s="1"/>
      <c r="I76" s="41"/>
      <c r="J76" s="27"/>
      <c r="K76" s="24"/>
      <c r="L76" s="105"/>
      <c r="M76" s="37"/>
      <c r="N76" s="38"/>
      <c r="O76" s="39"/>
      <c r="P76" s="152">
        <v>605660</v>
      </c>
      <c r="Q76" s="66">
        <v>10005</v>
      </c>
      <c r="R76" s="154"/>
      <c r="S76" s="74"/>
      <c r="T76" s="152"/>
      <c r="U76" s="68"/>
      <c r="V76" s="1"/>
      <c r="W76" s="1" t="s">
        <v>14</v>
      </c>
    </row>
    <row r="77" spans="1:23" x14ac:dyDescent="0.3">
      <c r="A77" s="1"/>
      <c r="I77" s="41"/>
      <c r="J77" s="27"/>
      <c r="K77" s="24"/>
      <c r="L77" s="105"/>
      <c r="M77" s="37"/>
      <c r="N77" s="38"/>
      <c r="O77" s="39"/>
      <c r="P77" s="152">
        <v>605661</v>
      </c>
      <c r="Q77" s="66">
        <v>10006</v>
      </c>
      <c r="R77" s="154"/>
      <c r="S77" s="74"/>
      <c r="T77" s="152"/>
      <c r="U77" s="68"/>
      <c r="V77" s="1"/>
      <c r="W77" s="1" t="s">
        <v>14</v>
      </c>
    </row>
    <row r="78" spans="1:23" x14ac:dyDescent="0.3">
      <c r="A78" s="1"/>
      <c r="I78" s="41"/>
      <c r="J78" s="27"/>
      <c r="K78" s="24"/>
      <c r="L78" s="105"/>
      <c r="M78" s="37"/>
      <c r="N78" s="38"/>
      <c r="O78" s="39"/>
      <c r="P78" s="152">
        <v>605662</v>
      </c>
      <c r="Q78" s="66">
        <v>10007</v>
      </c>
      <c r="R78" s="154"/>
      <c r="S78" s="74"/>
      <c r="T78" s="152"/>
      <c r="U78" s="68"/>
      <c r="V78" s="1"/>
      <c r="W78" s="1" t="s">
        <v>14</v>
      </c>
    </row>
    <row r="79" spans="1:23" x14ac:dyDescent="0.3">
      <c r="A79" s="1"/>
      <c r="I79" s="41"/>
      <c r="J79" s="27"/>
      <c r="K79" s="24"/>
      <c r="L79" s="105"/>
      <c r="M79" s="37"/>
      <c r="N79" s="38"/>
      <c r="O79" s="39"/>
      <c r="P79" s="152">
        <v>605663</v>
      </c>
      <c r="Q79" s="66">
        <v>10008</v>
      </c>
      <c r="R79" s="154"/>
      <c r="S79" s="74"/>
      <c r="T79" s="152"/>
      <c r="U79" s="68"/>
      <c r="V79" s="1"/>
      <c r="W79" s="1" t="s">
        <v>14</v>
      </c>
    </row>
    <row r="80" spans="1:23" x14ac:dyDescent="0.3">
      <c r="A80" s="1"/>
      <c r="I80" s="41"/>
      <c r="J80" s="27"/>
      <c r="K80" s="24"/>
      <c r="L80" s="105"/>
      <c r="M80" s="37"/>
      <c r="N80" s="38"/>
      <c r="O80" s="39"/>
      <c r="P80" s="152">
        <v>605664</v>
      </c>
      <c r="Q80" s="66">
        <v>10009</v>
      </c>
      <c r="R80" s="154"/>
      <c r="S80" s="74"/>
      <c r="T80" s="152"/>
      <c r="U80" s="68"/>
      <c r="V80" s="1"/>
      <c r="W80" s="1" t="s">
        <v>14</v>
      </c>
    </row>
    <row r="81" spans="1:23" x14ac:dyDescent="0.3">
      <c r="A81" s="1"/>
      <c r="I81" s="41"/>
      <c r="J81" s="27"/>
      <c r="K81" s="24"/>
      <c r="L81" s="105"/>
      <c r="M81" s="37"/>
      <c r="N81" s="38"/>
      <c r="O81" s="39"/>
      <c r="P81" s="152">
        <v>605665</v>
      </c>
      <c r="Q81" s="66">
        <v>10010</v>
      </c>
      <c r="R81" s="154"/>
      <c r="S81" s="74"/>
      <c r="T81" s="152"/>
      <c r="U81" s="68"/>
      <c r="V81" s="1"/>
      <c r="W81" s="1" t="s">
        <v>14</v>
      </c>
    </row>
    <row r="82" spans="1:23" x14ac:dyDescent="0.3">
      <c r="A82" s="1"/>
      <c r="I82" s="41"/>
      <c r="J82" s="27"/>
      <c r="K82" s="24"/>
      <c r="L82" s="105"/>
      <c r="M82" s="37"/>
      <c r="N82" s="38"/>
      <c r="O82" s="39"/>
      <c r="P82" s="152">
        <v>605666</v>
      </c>
      <c r="Q82" s="66">
        <v>10011</v>
      </c>
      <c r="R82" s="154"/>
      <c r="S82" s="74"/>
      <c r="T82" s="152"/>
      <c r="U82" s="68"/>
      <c r="V82" s="1"/>
      <c r="W82" s="1" t="s">
        <v>14</v>
      </c>
    </row>
    <row r="83" spans="1:23" x14ac:dyDescent="0.3">
      <c r="A83" s="1"/>
      <c r="I83" s="41"/>
      <c r="J83" s="27"/>
      <c r="K83" s="24"/>
      <c r="L83" s="105"/>
      <c r="M83" s="37"/>
      <c r="N83" s="38"/>
      <c r="O83" s="39"/>
      <c r="P83" s="152">
        <v>605667</v>
      </c>
      <c r="Q83" s="66">
        <v>10012</v>
      </c>
      <c r="R83" s="154"/>
      <c r="S83" s="74"/>
      <c r="T83" s="152"/>
      <c r="U83" s="68"/>
      <c r="V83" s="1"/>
      <c r="W83" s="1" t="s">
        <v>14</v>
      </c>
    </row>
    <row r="84" spans="1:23" x14ac:dyDescent="0.3">
      <c r="A84" s="1"/>
      <c r="I84" s="41"/>
      <c r="J84" s="27"/>
      <c r="K84" s="24"/>
      <c r="L84" s="105"/>
      <c r="M84" s="37"/>
      <c r="N84" s="38"/>
      <c r="O84" s="39"/>
      <c r="P84" s="152">
        <v>605668</v>
      </c>
      <c r="Q84" s="66">
        <v>10013</v>
      </c>
      <c r="R84" s="154"/>
      <c r="S84" s="74"/>
      <c r="T84" s="152"/>
      <c r="U84" s="68"/>
      <c r="V84" s="1"/>
      <c r="W84" s="1" t="s">
        <v>14</v>
      </c>
    </row>
    <row r="85" spans="1:23" x14ac:dyDescent="0.3">
      <c r="A85" s="1"/>
      <c r="I85" s="41"/>
      <c r="J85" s="27"/>
      <c r="K85" s="24"/>
      <c r="L85" s="105"/>
      <c r="M85" s="37"/>
      <c r="N85" s="38"/>
      <c r="O85" s="39"/>
      <c r="P85" s="152">
        <v>605669</v>
      </c>
      <c r="Q85" s="66">
        <v>10014</v>
      </c>
      <c r="R85" s="154"/>
      <c r="S85" s="74"/>
      <c r="T85" s="152"/>
      <c r="U85" s="68"/>
      <c r="V85" s="1"/>
      <c r="W85" s="1" t="s">
        <v>14</v>
      </c>
    </row>
    <row r="86" spans="1:23" x14ac:dyDescent="0.3">
      <c r="A86" s="1"/>
      <c r="I86" s="41"/>
      <c r="J86" s="27"/>
      <c r="K86" s="24"/>
      <c r="L86" s="105"/>
      <c r="M86" s="37"/>
      <c r="N86" s="38"/>
      <c r="O86" s="39"/>
      <c r="P86" s="152">
        <v>605670</v>
      </c>
      <c r="Q86" s="66">
        <v>10015</v>
      </c>
      <c r="R86" s="154"/>
      <c r="S86" s="74"/>
      <c r="T86" s="152"/>
      <c r="U86" s="68"/>
      <c r="V86" s="1"/>
      <c r="W86" s="1" t="s">
        <v>14</v>
      </c>
    </row>
    <row r="87" spans="1:23" x14ac:dyDescent="0.3">
      <c r="A87" s="1"/>
      <c r="I87" s="41"/>
      <c r="J87" s="27"/>
      <c r="K87" s="24"/>
      <c r="L87" s="105"/>
      <c r="M87" s="37"/>
      <c r="N87" s="38"/>
      <c r="O87" s="39"/>
      <c r="P87" s="152">
        <v>605671</v>
      </c>
      <c r="Q87" s="66">
        <v>10016</v>
      </c>
      <c r="R87" s="154"/>
      <c r="S87" s="74"/>
      <c r="T87" s="152"/>
      <c r="U87" s="68"/>
      <c r="V87" s="1"/>
      <c r="W87" s="1" t="s">
        <v>14</v>
      </c>
    </row>
    <row r="88" spans="1:23" x14ac:dyDescent="0.3">
      <c r="A88" s="1"/>
      <c r="I88" s="41"/>
      <c r="J88" s="27"/>
      <c r="K88" s="24"/>
      <c r="L88" s="105"/>
      <c r="M88" s="37"/>
      <c r="N88" s="38"/>
      <c r="O88" s="39"/>
      <c r="P88" s="152">
        <v>605655</v>
      </c>
      <c r="Q88" s="66">
        <v>10000</v>
      </c>
      <c r="R88" s="154"/>
      <c r="S88" s="74"/>
      <c r="T88" s="152"/>
      <c r="U88" s="68"/>
      <c r="V88" s="1"/>
      <c r="W88" s="1" t="s">
        <v>14</v>
      </c>
    </row>
    <row r="89" spans="1:23" x14ac:dyDescent="0.3">
      <c r="A89" s="1"/>
      <c r="I89" s="41"/>
      <c r="J89" s="27"/>
      <c r="K89" s="24"/>
      <c r="L89" s="105"/>
      <c r="M89" s="37"/>
      <c r="N89" s="38"/>
      <c r="O89" s="39"/>
      <c r="P89" s="152">
        <v>605656</v>
      </c>
      <c r="Q89" s="66">
        <v>10001</v>
      </c>
      <c r="R89" s="154"/>
      <c r="S89" s="74"/>
      <c r="T89" s="152"/>
      <c r="U89" s="68"/>
      <c r="V89" s="1"/>
      <c r="W89" s="1" t="s">
        <v>14</v>
      </c>
    </row>
    <row r="90" spans="1:23" x14ac:dyDescent="0.3">
      <c r="A90" s="1"/>
      <c r="I90" s="41"/>
      <c r="J90" s="27"/>
      <c r="K90" s="24"/>
      <c r="L90" s="105"/>
      <c r="M90" s="37"/>
      <c r="N90" s="38"/>
      <c r="O90" s="39"/>
      <c r="P90" s="152">
        <v>605657</v>
      </c>
      <c r="Q90" s="66">
        <v>10002</v>
      </c>
      <c r="R90" s="154"/>
      <c r="S90" s="74"/>
      <c r="T90" s="152"/>
      <c r="U90" s="68"/>
      <c r="V90" s="1"/>
      <c r="W90" s="1" t="s">
        <v>14</v>
      </c>
    </row>
    <row r="91" spans="1:23" x14ac:dyDescent="0.3">
      <c r="A91" s="1"/>
      <c r="I91" s="41"/>
      <c r="J91" s="27"/>
      <c r="K91" s="24"/>
      <c r="L91" s="105"/>
      <c r="M91" s="37"/>
      <c r="N91" s="38"/>
      <c r="O91" s="39"/>
      <c r="P91" s="152">
        <v>605658</v>
      </c>
      <c r="Q91" s="66">
        <v>10003</v>
      </c>
      <c r="R91" s="154"/>
      <c r="S91" s="74"/>
      <c r="T91" s="152"/>
      <c r="U91" s="68"/>
      <c r="V91" s="1"/>
      <c r="W91" s="1" t="s">
        <v>14</v>
      </c>
    </row>
    <row r="92" spans="1:23" x14ac:dyDescent="0.3">
      <c r="A92" s="1"/>
      <c r="I92" s="41"/>
      <c r="J92" s="27"/>
      <c r="K92" s="24"/>
      <c r="L92" s="105"/>
      <c r="M92" s="37"/>
      <c r="N92" s="38"/>
      <c r="O92" s="39"/>
      <c r="P92" s="152">
        <v>605659</v>
      </c>
      <c r="Q92" s="66">
        <v>10004</v>
      </c>
      <c r="R92" s="154"/>
      <c r="S92" s="74"/>
      <c r="T92" s="152"/>
      <c r="U92" s="68"/>
      <c r="V92" s="1"/>
      <c r="W92" s="1" t="s">
        <v>14</v>
      </c>
    </row>
    <row r="93" spans="1:23" x14ac:dyDescent="0.3">
      <c r="A93" s="1"/>
      <c r="I93" s="41"/>
      <c r="J93" s="27"/>
      <c r="K93" s="24"/>
      <c r="L93" s="105"/>
      <c r="M93" s="37"/>
      <c r="N93" s="38"/>
      <c r="O93" s="39"/>
      <c r="P93" s="152">
        <v>605660</v>
      </c>
      <c r="Q93" s="66">
        <v>10005</v>
      </c>
      <c r="R93" s="154"/>
      <c r="S93" s="74"/>
      <c r="T93" s="152"/>
      <c r="U93" s="68"/>
      <c r="V93" s="1"/>
      <c r="W93" s="1" t="s">
        <v>14</v>
      </c>
    </row>
    <row r="94" spans="1:23" x14ac:dyDescent="0.3">
      <c r="A94" s="1"/>
      <c r="I94" s="41"/>
      <c r="J94" s="27"/>
      <c r="K94" s="24"/>
      <c r="L94" s="105"/>
      <c r="M94" s="37"/>
      <c r="N94" s="38"/>
      <c r="O94" s="39"/>
      <c r="P94" s="152">
        <v>605661</v>
      </c>
      <c r="Q94" s="66">
        <v>10006</v>
      </c>
      <c r="R94" s="154"/>
      <c r="S94" s="74"/>
      <c r="T94" s="152"/>
      <c r="U94" s="68"/>
      <c r="V94" s="1"/>
      <c r="W94" s="1" t="s">
        <v>14</v>
      </c>
    </row>
    <row r="95" spans="1:23" x14ac:dyDescent="0.3">
      <c r="A95" s="1"/>
      <c r="I95" s="41"/>
      <c r="J95" s="27"/>
      <c r="K95" s="24"/>
      <c r="L95" s="105"/>
      <c r="M95" s="37"/>
      <c r="N95" s="38"/>
      <c r="O95" s="39"/>
      <c r="P95" s="152">
        <v>605662</v>
      </c>
      <c r="Q95" s="66">
        <v>10007</v>
      </c>
      <c r="R95" s="154"/>
      <c r="S95" s="74"/>
      <c r="T95" s="152"/>
      <c r="U95" s="68"/>
      <c r="V95" s="1"/>
      <c r="W95" s="1" t="s">
        <v>14</v>
      </c>
    </row>
    <row r="96" spans="1:23" x14ac:dyDescent="0.3">
      <c r="A96" s="1"/>
      <c r="I96" s="41"/>
      <c r="J96" s="27"/>
      <c r="K96" s="24"/>
      <c r="L96" s="105"/>
      <c r="M96" s="37"/>
      <c r="N96" s="38"/>
      <c r="O96" s="39"/>
      <c r="P96" s="152">
        <v>605663</v>
      </c>
      <c r="Q96" s="66">
        <v>10008</v>
      </c>
      <c r="R96" s="154"/>
      <c r="S96" s="74"/>
      <c r="T96" s="152"/>
      <c r="U96" s="68"/>
      <c r="V96" s="1"/>
      <c r="W96" s="1" t="s">
        <v>14</v>
      </c>
    </row>
    <row r="97" spans="1:23" x14ac:dyDescent="0.3">
      <c r="A97" s="1"/>
      <c r="I97" s="41"/>
      <c r="J97" s="27"/>
      <c r="K97" s="24"/>
      <c r="L97" s="105"/>
      <c r="M97" s="37"/>
      <c r="N97" s="38"/>
      <c r="O97" s="39"/>
      <c r="P97" s="152">
        <v>605664</v>
      </c>
      <c r="Q97" s="66">
        <v>10009</v>
      </c>
      <c r="R97" s="154"/>
      <c r="S97" s="74"/>
      <c r="T97" s="152"/>
      <c r="U97" s="68"/>
      <c r="V97" s="1"/>
      <c r="W97" s="1" t="s">
        <v>14</v>
      </c>
    </row>
    <row r="98" spans="1:23" x14ac:dyDescent="0.3">
      <c r="A98" s="1"/>
      <c r="I98" s="41"/>
      <c r="J98" s="27"/>
      <c r="K98" s="24"/>
      <c r="L98" s="105"/>
      <c r="M98" s="37"/>
      <c r="N98" s="38"/>
      <c r="O98" s="39"/>
      <c r="P98" s="152">
        <v>605665</v>
      </c>
      <c r="Q98" s="66">
        <v>10010</v>
      </c>
      <c r="R98" s="154"/>
      <c r="S98" s="74"/>
      <c r="T98" s="152"/>
      <c r="U98" s="68"/>
      <c r="V98" s="1"/>
      <c r="W98" s="1" t="s">
        <v>14</v>
      </c>
    </row>
    <row r="99" spans="1:23" x14ac:dyDescent="0.3">
      <c r="A99" s="1"/>
      <c r="I99" s="41"/>
      <c r="J99" s="27"/>
      <c r="K99" s="24"/>
      <c r="L99" s="105"/>
      <c r="M99" s="37"/>
      <c r="N99" s="38"/>
      <c r="O99" s="39"/>
      <c r="P99" s="152">
        <v>605666</v>
      </c>
      <c r="Q99" s="66">
        <v>10011</v>
      </c>
      <c r="R99" s="154"/>
      <c r="S99" s="74"/>
      <c r="T99" s="152"/>
      <c r="U99" s="68"/>
      <c r="V99" s="1"/>
      <c r="W99" s="1" t="s">
        <v>14</v>
      </c>
    </row>
    <row r="100" spans="1:23" x14ac:dyDescent="0.3">
      <c r="A100" s="1"/>
      <c r="I100" s="41"/>
      <c r="J100" s="27"/>
      <c r="K100" s="24"/>
      <c r="L100" s="105"/>
      <c r="M100" s="37"/>
      <c r="N100" s="38"/>
      <c r="O100" s="39"/>
      <c r="P100" s="152">
        <v>605667</v>
      </c>
      <c r="Q100" s="66">
        <v>10012</v>
      </c>
      <c r="R100" s="154"/>
      <c r="S100" s="74"/>
      <c r="T100" s="152"/>
      <c r="U100" s="68"/>
      <c r="V100" s="1"/>
      <c r="W100" s="1" t="s">
        <v>14</v>
      </c>
    </row>
    <row r="101" spans="1:23" x14ac:dyDescent="0.3">
      <c r="A101" s="1"/>
      <c r="I101" s="41"/>
      <c r="J101" s="27"/>
      <c r="K101" s="24"/>
      <c r="L101" s="105"/>
      <c r="M101" s="37"/>
      <c r="N101" s="38"/>
      <c r="O101" s="39"/>
      <c r="P101" s="152">
        <v>605668</v>
      </c>
      <c r="Q101" s="66">
        <v>10013</v>
      </c>
      <c r="R101" s="154"/>
      <c r="S101" s="74"/>
      <c r="T101" s="152"/>
      <c r="U101" s="68"/>
      <c r="V101" s="1"/>
      <c r="W101" s="1" t="s">
        <v>14</v>
      </c>
    </row>
    <row r="102" spans="1:23" x14ac:dyDescent="0.3">
      <c r="A102" s="1"/>
      <c r="I102" s="41"/>
      <c r="J102" s="27"/>
      <c r="K102" s="24"/>
      <c r="L102" s="105"/>
      <c r="M102" s="37"/>
      <c r="N102" s="38"/>
      <c r="O102" s="39"/>
      <c r="P102" s="152">
        <v>605669</v>
      </c>
      <c r="Q102" s="66">
        <v>10014</v>
      </c>
      <c r="R102" s="154"/>
      <c r="S102" s="74"/>
      <c r="T102" s="152"/>
      <c r="U102" s="68"/>
      <c r="V102" s="1"/>
      <c r="W102" s="1" t="s">
        <v>14</v>
      </c>
    </row>
    <row r="103" spans="1:23" x14ac:dyDescent="0.3">
      <c r="A103" s="1"/>
      <c r="I103" s="41"/>
      <c r="J103" s="27"/>
      <c r="K103" s="24"/>
      <c r="L103" s="105"/>
      <c r="M103" s="37"/>
      <c r="N103" s="38"/>
      <c r="O103" s="39"/>
      <c r="P103" s="152">
        <v>605670</v>
      </c>
      <c r="Q103" s="66">
        <v>10015</v>
      </c>
      <c r="R103" s="154"/>
      <c r="S103" s="74"/>
      <c r="T103" s="152"/>
      <c r="U103" s="68"/>
      <c r="V103" s="1"/>
      <c r="W103" s="1" t="s">
        <v>14</v>
      </c>
    </row>
    <row r="104" spans="1:23" x14ac:dyDescent="0.3">
      <c r="A104" s="1"/>
      <c r="I104" s="41"/>
      <c r="J104" s="27"/>
      <c r="K104" s="24"/>
      <c r="L104" s="105"/>
      <c r="M104" s="37"/>
      <c r="N104" s="38"/>
      <c r="O104" s="39"/>
      <c r="P104" s="152">
        <v>605671</v>
      </c>
      <c r="Q104" s="66">
        <v>10016</v>
      </c>
      <c r="R104" s="154"/>
      <c r="S104" s="74"/>
      <c r="T104" s="152"/>
      <c r="U104" s="68"/>
      <c r="V104" s="1"/>
      <c r="W104" s="1" t="s">
        <v>14</v>
      </c>
    </row>
    <row r="105" spans="1:23" ht="15" thickBot="1" x14ac:dyDescent="0.35">
      <c r="B105" s="20"/>
      <c r="C105" s="32"/>
      <c r="I105" s="41">
        <f t="shared" ref="I105:I112" si="6">L$1</f>
        <v>0</v>
      </c>
      <c r="J105" s="27">
        <f t="shared" ref="J105:J112" si="7">L10</f>
        <v>0</v>
      </c>
      <c r="L105" s="105"/>
      <c r="M105" s="171" t="s">
        <v>42</v>
      </c>
      <c r="N105" s="179"/>
      <c r="O105" s="150"/>
      <c r="P105" s="152"/>
      <c r="Q105" s="75"/>
      <c r="R105" s="154"/>
      <c r="S105" s="73"/>
      <c r="T105" s="152"/>
      <c r="U105" s="76"/>
      <c r="V105" s="1"/>
      <c r="W105" s="1"/>
    </row>
    <row r="106" spans="1:23" x14ac:dyDescent="0.3">
      <c r="O106" s="39">
        <v>127092</v>
      </c>
      <c r="N106" s="38" t="inlineStr">
        <is>
          <t xml:space="preserve">SANTANDER</t>
        </is>
      </c>
      <c r="M106" s="37" t="inlineStr">
        <is>
          <t xml:space="preserve">30-07-2026</t>
        </is>
      </c>
      <c r="B106" s="20"/>
      <c r="C106" s="32"/>
      <c r="I106" s="41">
        <f t="shared" si="6"/>
        <v>0</v>
      </c>
      <c r="J173" s="27">
        <f t="shared" si="7"/>
        <v>0</v>
      </c>
      <c r="K173" s="24"/>
      <c r="L173" s="105"/>
      <c r="M173" s="37"/>
      <c r="N173" s="38"/>
      <c r="O173" s="39"/>
      <c r="P173" s="152"/>
      <c r="Q173" s="68"/>
      <c r="R173" s="154"/>
      <c r="S173" s="73"/>
      <c r="T173" s="152"/>
      <c r="U173" s="68"/>
      <c r="V173" s="1"/>
      <c r="W173" s="1"/>
    </row>
    <row r="107" spans="1:23" ht="16.5" customHeight="1" x14ac:dyDescent="0.4">
      <c r="O107" s="39">
        <v>972618</v>
      </c>
      <c r="N107" s="38" t="inlineStr">
        <is>
          <t xml:space="preserve">SANTANDER</t>
        </is>
      </c>
      <c r="M107" s="37" t="inlineStr">
        <is>
          <t xml:space="preserve">30-07-2026</t>
        </is>
      </c>
      <c r="B174" s="20"/>
      <c r="C174" s="32"/>
      <c r="D174" s="44"/>
      <c r="E174" s="43"/>
      <c r="I174" s="41">
        <f t="shared" si="6"/>
        <v>0</v>
      </c>
      <c r="J174" s="27">
        <f t="shared" si="7"/>
        <v>0</v>
      </c>
      <c r="K174" s="24"/>
      <c r="L174" s="105"/>
      <c r="M174" s="37"/>
      <c r="N174" s="38"/>
      <c r="O174" s="39"/>
      <c r="P174" s="152"/>
      <c r="Q174" s="66"/>
      <c r="R174" s="154"/>
      <c r="S174" s="74"/>
      <c r="T174" s="152"/>
      <c r="U174" s="68"/>
      <c r="V174" s="1"/>
      <c r="W174" s="1"/>
    </row>
    <row r="108" spans="1:23" ht="15" customHeight="1" x14ac:dyDescent="0.3">
      <c r="O108" s="39">
        <v>368449</v>
      </c>
      <c r="N108" s="38" t="inlineStr">
        <is>
          <t xml:space="preserve">SANTANDER</t>
        </is>
      </c>
      <c r="M108" s="37" t="inlineStr">
        <is>
          <t xml:space="preserve">30-07-2026</t>
        </is>
      </c>
      <c r="B175" s="20"/>
      <c r="C175" s="32"/>
      <c r="D175" s="23"/>
      <c r="E175" s="23"/>
      <c r="I175" s="41">
        <f t="shared" si="6"/>
        <v>0</v>
      </c>
      <c r="J175" s="27">
        <f t="shared" si="7"/>
        <v>0</v>
      </c>
      <c r="K175" s="24"/>
      <c r="L175" s="105"/>
      <c r="M175" s="37"/>
      <c r="N175" s="38"/>
      <c r="O175" s="39"/>
      <c r="P175" s="152"/>
      <c r="Q175" s="66"/>
      <c r="R175" s="154"/>
      <c r="S175" s="74"/>
      <c r="T175" s="152"/>
      <c r="U175" s="68"/>
      <c r="V175" s="1"/>
      <c r="W175" s="1"/>
    </row>
    <row r="109" spans="1:23" ht="15" customHeight="1" x14ac:dyDescent="0.6">
      <c r="O109" s="39">
        <v>92552</v>
      </c>
      <c r="N109" s="38" t="inlineStr">
        <is>
          <t xml:space="preserve">SANTANDER</t>
        </is>
      </c>
      <c r="M109" s="37" t="inlineStr">
        <is>
          <t xml:space="preserve">30-07-2026</t>
        </is>
      </c>
      <c r="B176" s="20"/>
      <c r="C176" s="25"/>
      <c r="D176" s="23"/>
      <c r="E176" s="23"/>
      <c r="F176" s="47"/>
      <c r="I176" s="41">
        <f t="shared" si="6"/>
        <v>0</v>
      </c>
      <c r="J176" s="27">
        <f t="shared" si="7"/>
        <v>0</v>
      </c>
      <c r="L176" s="105"/>
      <c r="M176" s="37"/>
      <c r="N176" s="38"/>
      <c r="O176" s="39"/>
      <c r="P176" s="152"/>
      <c r="Q176" s="66"/>
      <c r="R176" s="154"/>
      <c r="S176" s="73"/>
      <c r="T176" s="152"/>
      <c r="U176" s="68"/>
      <c r="V176" s="1"/>
      <c r="W176" s="1"/>
    </row>
    <row r="110" spans="1:23" ht="15.75" customHeight="1" x14ac:dyDescent="0.6">
      <c r="A177" s="104"/>
      <c r="B177" s="20"/>
      <c r="C177" s="32"/>
      <c r="D177" s="170"/>
      <c r="E177" s="170"/>
      <c r="F177" s="47"/>
      <c r="G177" s="8"/>
      <c r="I177" s="41">
        <f t="shared" si="6"/>
        <v>0</v>
      </c>
      <c r="J177" s="27">
        <f t="shared" si="7"/>
        <v>0</v>
      </c>
      <c r="K177" s="24"/>
      <c r="L177" s="105"/>
      <c r="M177" s="37"/>
      <c r="N177" s="38"/>
      <c r="O177" s="39"/>
      <c r="P177" s="152"/>
      <c r="Q177" s="66"/>
      <c r="R177" s="152"/>
      <c r="S177" s="67"/>
      <c r="T177" s="152"/>
      <c r="U177" s="68"/>
    </row>
    <row r="111" spans="1:23" ht="15" customHeight="1" x14ac:dyDescent="0.3">
      <c r="A178" s="25"/>
      <c r="B178" s="20"/>
      <c r="C178" s="25"/>
      <c r="D178" s="170"/>
      <c r="E178" s="170"/>
      <c r="F178" s="48"/>
      <c r="H178" s="64"/>
      <c r="I178" s="41">
        <f t="shared" si="6"/>
        <v>0</v>
      </c>
      <c r="J178" s="27">
        <f t="shared" si="7"/>
        <v>0</v>
      </c>
      <c r="K178" s="24"/>
      <c r="L178" s="105"/>
      <c r="M178" s="37"/>
      <c r="N178" s="38"/>
      <c r="O178" s="39"/>
      <c r="P178" s="152"/>
      <c r="Q178" s="66"/>
      <c r="R178" s="152"/>
      <c r="S178" s="67"/>
      <c r="T178" s="152"/>
      <c r="U178" s="68"/>
    </row>
    <row r="112" spans="1:23" x14ac:dyDescent="0.3">
      <c r="A179" s="25"/>
      <c r="B179" s="25"/>
      <c r="C179" s="40"/>
      <c r="D179" s="170"/>
      <c r="E179" s="170"/>
      <c r="F179" s="23"/>
      <c r="H179" s="64"/>
      <c r="I179" s="41">
        <f t="shared" si="6"/>
        <v>0</v>
      </c>
      <c r="J179" s="27">
        <f t="shared" si="7"/>
        <v>0</v>
      </c>
      <c r="L179" s="105"/>
      <c r="M179" s="37"/>
      <c r="N179" s="38"/>
      <c r="O179" s="39"/>
      <c r="P179" s="152"/>
      <c r="Q179" s="66"/>
      <c r="R179" s="152"/>
      <c r="S179" s="72"/>
      <c r="T179" s="152"/>
      <c r="U179" s="68"/>
    </row>
    <row r="113" spans="1:23" x14ac:dyDescent="0.3">
      <c r="A180" s="20"/>
      <c r="B180" s="20"/>
      <c r="C180" s="40"/>
      <c r="D180" s="170"/>
      <c r="E180" s="170"/>
      <c r="F180" s="49"/>
      <c r="H180" s="64"/>
      <c r="I180" s="13"/>
      <c r="J180" s="53">
        <f>SUM(J28:J112)</f>
        <v>0</v>
      </c>
      <c r="L113" s="105"/>
      <c r="M113" s="37"/>
      <c r="N113" s="38"/>
      <c r="O113" s="39"/>
      <c r="P113" s="152"/>
      <c r="Q113" s="66"/>
      <c r="R113" s="152"/>
      <c r="S113" s="67"/>
      <c r="T113" s="152"/>
      <c r="U113" s="68"/>
    </row>
    <row r="114" spans="1:23" x14ac:dyDescent="0.3">
      <c r="A114" s="20"/>
      <c r="B114" s="20"/>
      <c r="C114" s="40"/>
      <c r="D114" s="170"/>
      <c r="E114" s="170"/>
      <c r="F114" s="17"/>
      <c r="G114" s="1"/>
      <c r="H114" s="64"/>
      <c r="I114" s="13"/>
      <c r="J114" s="53"/>
      <c r="K114" s="24"/>
      <c r="L114" s="105"/>
      <c r="M114" s="37"/>
      <c r="N114" s="38"/>
      <c r="O114" s="39"/>
      <c r="P114" s="152"/>
      <c r="Q114" s="66"/>
      <c r="R114" s="152"/>
      <c r="S114" s="67"/>
      <c r="T114" s="152"/>
      <c r="U114" s="68"/>
    </row>
    <row r="115" spans="1:23" x14ac:dyDescent="0.3">
      <c r="A115" s="20"/>
      <c r="B115" s="20"/>
      <c r="C115" s="40"/>
      <c r="D115" s="170"/>
      <c r="E115" s="170"/>
      <c r="F115" s="23"/>
      <c r="G115" s="1"/>
      <c r="H115" s="64"/>
      <c r="I115" s="13"/>
      <c r="J115" s="53"/>
      <c r="L115" s="105"/>
      <c r="M115" s="37"/>
      <c r="N115" s="38"/>
      <c r="O115" s="39"/>
      <c r="P115" s="152"/>
      <c r="Q115" s="66"/>
      <c r="R115" s="152"/>
      <c r="S115" s="67"/>
      <c r="T115" s="154"/>
      <c r="U115" s="68"/>
    </row>
    <row r="116" spans="1:21" x14ac:dyDescent="0.3">
      <c r="A116" s="20"/>
      <c r="B116" s="20"/>
      <c r="C116" s="40"/>
      <c r="D116" s="170"/>
      <c r="E116" s="170"/>
      <c r="F116" s="23"/>
      <c r="G116" s="1"/>
      <c r="H116" s="46"/>
      <c r="I116" s="13"/>
      <c r="J116" s="53"/>
      <c r="L116" s="105"/>
      <c r="M116" s="37"/>
      <c r="N116" s="38"/>
      <c r="O116" s="39"/>
      <c r="P116" s="152"/>
      <c r="Q116" s="66"/>
      <c r="R116" s="152"/>
      <c r="S116" s="67"/>
      <c r="T116" s="154"/>
      <c r="U116" s="68"/>
    </row>
    <row r="117" spans="1:21" x14ac:dyDescent="0.3">
      <c r="A117" s="20"/>
      <c r="B117" s="20"/>
      <c r="C117" s="40"/>
      <c r="D117" s="23"/>
      <c r="E117" s="25"/>
      <c r="F117" s="23"/>
      <c r="G117" s="1"/>
      <c r="H117" s="46"/>
      <c r="I117" s="13"/>
      <c r="J117" s="53"/>
      <c r="L117" s="105"/>
      <c r="M117" s="37"/>
      <c r="N117" s="38"/>
      <c r="O117" s="39"/>
      <c r="P117" s="152"/>
      <c r="Q117" s="66"/>
      <c r="R117" s="152"/>
      <c r="S117" s="67"/>
      <c r="T117" s="154"/>
      <c r="U117" s="68"/>
    </row>
    <row r="118" spans="1:21" x14ac:dyDescent="0.3">
      <c r="A118" s="20"/>
      <c r="B118" s="20"/>
      <c r="C118" s="40"/>
      <c r="D118" s="185"/>
      <c r="E118" s="185"/>
      <c r="F118" s="23"/>
      <c r="G118" s="1"/>
      <c r="H118" s="46"/>
      <c r="I118" s="13"/>
      <c r="J118" s="53"/>
      <c r="L118" s="105"/>
      <c r="M118" s="37"/>
      <c r="N118" s="38"/>
      <c r="O118" s="39"/>
      <c r="P118" s="151"/>
      <c r="Q118" s="66"/>
      <c r="R118" s="152"/>
      <c r="S118" s="67"/>
      <c r="T118" s="154"/>
      <c r="U118" s="68"/>
    </row>
    <row r="119" spans="1:21" x14ac:dyDescent="0.3">
      <c r="A119" s="20"/>
      <c r="B119" s="51"/>
      <c r="C119" s="40"/>
      <c r="D119" s="178"/>
      <c r="E119" s="178"/>
      <c r="F119" s="23"/>
      <c r="G119" s="1"/>
      <c r="H119" s="46"/>
      <c r="I119" s="50"/>
      <c r="J119" s="53"/>
      <c r="L119" s="105"/>
      <c r="M119" s="37"/>
      <c r="N119" s="38"/>
      <c r="O119" s="39"/>
      <c r="P119" s="151"/>
      <c r="Q119" s="66"/>
      <c r="R119" s="152"/>
      <c r="S119" s="67"/>
      <c r="T119" s="154"/>
      <c r="U119" s="68"/>
    </row>
    <row r="120" spans="1:21" x14ac:dyDescent="0.3">
      <c r="A120" s="25"/>
      <c r="B120" s="51"/>
      <c r="C120" s="40"/>
      <c r="D120" s="166"/>
      <c r="E120" s="166"/>
      <c r="F120" s="23"/>
      <c r="G120" s="1"/>
      <c r="H120" s="46"/>
      <c r="I120" s="50"/>
      <c r="J120" s="53"/>
      <c r="L120" s="18"/>
      <c r="M120" s="37"/>
      <c r="N120" s="38"/>
      <c r="O120" s="39"/>
      <c r="P120" s="152"/>
      <c r="Q120" s="66"/>
      <c r="R120" s="152"/>
      <c r="S120" s="67"/>
      <c r="T120" s="154"/>
      <c r="U120" s="68"/>
    </row>
    <row r="121" spans="1:21" x14ac:dyDescent="0.3">
      <c r="A121" s="20"/>
      <c r="B121" s="51"/>
      <c r="C121" s="40"/>
      <c r="D121" s="166"/>
      <c r="E121" s="166"/>
      <c r="F121" s="23"/>
      <c r="G121" s="1"/>
      <c r="H121" s="46"/>
      <c r="I121" s="50"/>
      <c r="J121" s="53"/>
      <c r="L121" s="18"/>
      <c r="M121" s="37"/>
      <c r="N121" s="38"/>
      <c r="O121" s="39"/>
      <c r="P121" s="152"/>
      <c r="Q121" s="66"/>
      <c r="R121" s="152"/>
      <c r="S121" s="67"/>
      <c r="T121" s="154"/>
      <c r="U121" s="68"/>
    </row>
    <row r="122" spans="1:21" x14ac:dyDescent="0.3">
      <c r="A122" s="20"/>
      <c r="B122" s="51"/>
      <c r="C122" s="40"/>
      <c r="D122" s="22"/>
      <c r="E122" s="22"/>
      <c r="F122" s="23"/>
      <c r="G122" s="1"/>
      <c r="H122" s="46"/>
      <c r="I122" s="50"/>
      <c r="J122" s="53"/>
      <c r="L122" s="18"/>
      <c r="M122" s="37"/>
      <c r="N122" s="38"/>
      <c r="O122" s="39"/>
      <c r="P122" s="152"/>
      <c r="Q122" s="66"/>
      <c r="R122" s="152"/>
      <c r="S122" s="67"/>
      <c r="T122" s="154"/>
      <c r="U122" s="68"/>
    </row>
    <row r="123" spans="1:21" x14ac:dyDescent="0.3">
      <c r="A123" s="20"/>
      <c r="B123"/>
      <c r="C123" s="40"/>
      <c r="D123" s="22"/>
      <c r="E123" s="22"/>
      <c r="F123" s="23"/>
      <c r="G123" s="1"/>
      <c r="H123" s="46"/>
      <c r="I123" s="50"/>
      <c r="J123" s="53"/>
      <c r="L123" s="18"/>
      <c r="M123" s="37"/>
      <c r="N123" s="38"/>
      <c r="O123" s="39"/>
      <c r="P123" s="152"/>
      <c r="Q123" s="66"/>
      <c r="R123" s="152"/>
      <c r="S123" s="67"/>
      <c r="T123" s="154"/>
      <c r="U123" s="68"/>
    </row>
    <row r="124" spans="1:21" x14ac:dyDescent="0.3">
      <c r="A124" s="20"/>
      <c r="B124"/>
      <c r="C124" s="40"/>
      <c r="D124" s="22"/>
      <c r="E124" s="22"/>
      <c r="F124" s="23"/>
      <c r="G124" s="1"/>
      <c r="H124" s="46"/>
      <c r="I124" s="50"/>
      <c r="J124" s="53"/>
      <c r="L124" s="18"/>
      <c r="M124" s="37"/>
      <c r="N124" s="38"/>
      <c r="O124" s="39"/>
      <c r="P124" s="152"/>
      <c r="Q124" s="66"/>
      <c r="R124" s="152"/>
      <c r="S124" s="67"/>
      <c r="T124" s="154"/>
      <c r="U124" s="68"/>
    </row>
    <row r="125" spans="1:21" x14ac:dyDescent="0.3">
      <c r="A125" s="20"/>
      <c r="B125"/>
      <c r="C125" s="40"/>
      <c r="D125" s="22"/>
      <c r="E125" s="22"/>
      <c r="F125" s="23"/>
      <c r="G125" s="1"/>
      <c r="H125" s="46"/>
      <c r="I125" s="50"/>
      <c r="J125" s="53"/>
      <c r="L125" s="18"/>
      <c r="M125" s="37"/>
      <c r="N125" s="38"/>
      <c r="O125" s="39"/>
      <c r="P125" s="152"/>
      <c r="Q125" s="66"/>
      <c r="R125" s="152"/>
      <c r="S125" s="67"/>
      <c r="T125" s="154"/>
      <c r="U125" s="68"/>
    </row>
    <row r="126" spans="1:21" x14ac:dyDescent="0.3">
      <c r="A126" s="20"/>
      <c r="B126"/>
      <c r="C126" s="40"/>
      <c r="D126" s="22"/>
      <c r="E126" s="22"/>
      <c r="F126" s="23"/>
      <c r="G126" s="1"/>
      <c r="H126" s="46"/>
      <c r="I126" s="50"/>
      <c r="J126" s="53"/>
      <c r="L126" s="18"/>
      <c r="M126" s="37"/>
      <c r="N126" s="38"/>
      <c r="O126" s="39"/>
      <c r="P126" s="152"/>
      <c r="Q126" s="66"/>
      <c r="R126" s="152"/>
      <c r="S126" s="67"/>
      <c r="T126" s="154"/>
      <c r="U126" s="68"/>
    </row>
    <row r="127" spans="1:21" x14ac:dyDescent="0.3">
      <c r="A127" s="25"/>
      <c r="B127"/>
      <c r="C127" s="40"/>
      <c r="D127" s="166"/>
      <c r="E127" s="166"/>
      <c r="F127" s="23"/>
      <c r="G127" s="1"/>
      <c r="H127" s="46"/>
      <c r="I127" s="50"/>
      <c r="J127" s="53"/>
      <c r="L127" s="18"/>
      <c r="M127" s="37"/>
      <c r="N127" s="38"/>
      <c r="O127" s="39"/>
      <c r="P127" s="152"/>
      <c r="Q127" s="66"/>
      <c r="R127" s="152"/>
      <c r="S127" s="67"/>
      <c r="T127" s="154"/>
      <c r="U127" s="68"/>
    </row>
    <row r="128" spans="1:21" x14ac:dyDescent="0.3">
      <c r="A128" s="25"/>
      <c r="B128"/>
      <c r="C128" s="40"/>
      <c r="D128" s="22"/>
      <c r="E128" s="22"/>
      <c r="F128" s="23"/>
      <c r="G128" s="1"/>
      <c r="H128" s="46"/>
      <c r="I128" s="50"/>
      <c r="J128" s="53"/>
      <c r="L128" s="18"/>
      <c r="M128" s="37"/>
      <c r="N128" s="38"/>
      <c r="O128" s="39"/>
      <c r="P128" s="152"/>
      <c r="Q128" s="135"/>
      <c r="R128" s="155"/>
      <c r="S128" s="88"/>
      <c r="T128" s="154"/>
      <c r="U128" s="68"/>
    </row>
    <row r="129" spans="1:21" x14ac:dyDescent="0.3">
      <c r="A129" s="25"/>
      <c r="B129"/>
      <c r="C129" s="40"/>
      <c r="D129" s="22"/>
      <c r="E129" s="22"/>
      <c r="F129" s="23"/>
      <c r="G129" s="1"/>
      <c r="H129" s="46"/>
      <c r="I129" s="50"/>
      <c r="J129" s="53"/>
      <c r="L129" s="18"/>
      <c r="M129" s="37"/>
      <c r="N129" s="38"/>
      <c r="O129" s="39"/>
      <c r="P129" s="152"/>
      <c r="Q129" s="135"/>
      <c r="R129" s="155"/>
      <c r="S129" s="88"/>
      <c r="T129" s="154"/>
      <c r="U129" s="68"/>
    </row>
    <row r="130" spans="1:21" x14ac:dyDescent="0.3">
      <c r="A130" s="25"/>
      <c r="B130"/>
      <c r="C130" s="40"/>
      <c r="D130" s="22"/>
      <c r="E130" s="22"/>
      <c r="F130" s="23"/>
      <c r="G130" s="1"/>
      <c r="H130" s="46"/>
      <c r="I130" s="50"/>
      <c r="J130" s="53"/>
      <c r="L130" s="18"/>
      <c r="M130" s="37"/>
      <c r="N130" s="38"/>
      <c r="O130" s="39"/>
      <c r="P130" s="152"/>
      <c r="Q130" s="135"/>
      <c r="R130" s="155"/>
      <c r="S130" s="88"/>
      <c r="T130" s="154"/>
      <c r="U130" s="68"/>
    </row>
    <row r="131" spans="1:21" ht="15" thickBot="1" x14ac:dyDescent="0.35">
      <c r="A131" s="25"/>
      <c r="B131"/>
      <c r="C131" s="40"/>
      <c r="D131" s="166"/>
      <c r="E131" s="166"/>
      <c r="F131" s="23"/>
      <c r="G131" s="1"/>
      <c r="H131" s="46"/>
      <c r="I131" s="50"/>
      <c r="J131" s="53"/>
      <c r="L131" s="18"/>
      <c r="M131" s="37"/>
      <c r="N131" s="38"/>
      <c r="O131" s="39"/>
      <c r="P131" s="152"/>
      <c r="Q131" s="84"/>
      <c r="R131" s="155"/>
      <c r="S131" s="88"/>
      <c r="T131" s="154"/>
      <c r="U131" s="71"/>
    </row>
    <row r="132" spans="1:23" ht="16.5" customHeight="1" thickBot="1" x14ac:dyDescent="0.35">
      <c r="A132" s="25"/>
      <c r="B132"/>
      <c r="C132" s="40"/>
      <c r="D132" s="166"/>
      <c r="E132" s="166"/>
      <c r="F132" s="20"/>
      <c r="G132" s="1"/>
      <c r="H132" s="46"/>
      <c r="I132" s="50"/>
      <c r="J132" s="53"/>
      <c r="L132"/>
      <c r="M132" s="171" t="s">
        <v>34</v>
      </c>
      <c r="N132" s="172"/>
      <c r="O132" s="42">
        <v>1560711</v>
      </c>
      <c r="P132" s="52" t="s">
        <v>11</v>
      </c>
      <c r="Q132" s="42">
        <v>68</v>
      </c>
      <c r="R132" s="52" t="s">
        <v>11</v>
      </c>
      <c r="S132" s="42"/>
      <c r="T132" s="52" t="s">
        <v>11</v>
      </c>
      <c r="U132" s="42"/>
    </row>
    <row r="133" spans="1:23" ht="15" thickBot="1" x14ac:dyDescent="0.35">
      <c r="A133" s="25"/>
      <c r="B133"/>
      <c r="C133" s="90"/>
      <c r="D133" s="166"/>
      <c r="E133" s="166"/>
      <c r="F133" s="23"/>
      <c r="G133" s="1"/>
      <c r="H133" s="46"/>
      <c r="I133" s="50"/>
      <c r="J133"/>
      <c r="L133"/>
      <c r="M133" s="54"/>
      <c r="N133" s="55"/>
      <c r="O133" s="70"/>
      <c r="P133" s="23"/>
      <c r="Q133" s="69"/>
      <c r="R133" s="70"/>
      <c r="S133" s="70"/>
      <c r="T133" s="6"/>
    </row>
    <row r="134" spans="1:23" ht="16.2" thickBot="1" x14ac:dyDescent="0.35">
      <c r="A134" s="25"/>
      <c r="B134"/>
      <c r="C134" s="25"/>
      <c r="D134" s="22"/>
      <c r="E134" s="22"/>
      <c r="F134" s="23"/>
      <c r="G134" s="1"/>
      <c r="H134" s="46"/>
      <c r="I134" s="50"/>
      <c r="J134"/>
      <c r="L134"/>
      <c r="M134" s="167" t="s">
        <v>47</v>
      </c>
      <c r="N134" s="168"/>
      <c r="O134" s="169"/>
      <c r="P134" s="181"/>
      <c r="Q134" s="182"/>
      <c r="R134" s="167" t="s">
        <v>37</v>
      </c>
      <c r="S134" s="168"/>
      <c r="T134" s="183" t="str">
        <f>Q25</f>
      </c>
      <c r="U134" s="184"/>
    </row>
    <row r="135" spans="1:23" ht="15.75" customHeight="1" thickBot="1" x14ac:dyDescent="0.35">
      <c r="A135" s="25"/>
      <c r="B135"/>
      <c r="C135" s="25"/>
      <c r="D135" s="166"/>
      <c r="E135" s="166"/>
      <c r="F135" s="63"/>
      <c r="G135" s="1"/>
      <c r="H135" s="46"/>
      <c r="I135" s="50"/>
      <c r="J135"/>
      <c r="L135"/>
      <c r="M135" s="56"/>
      <c r="N135" s="83"/>
      <c r="O135" s="83"/>
      <c r="P135" s="57"/>
      <c r="Q135" s="58"/>
      <c r="R135" s="58"/>
      <c r="S135" s="58"/>
      <c r="T135" s="56"/>
      <c r="U135" s="56"/>
    </row>
    <row r="136" spans="1:23" ht="15.75" customHeight="1" thickBot="1" x14ac:dyDescent="0.35">
      <c r="A136" s="25"/>
      <c r="B136" s="90"/>
      <c r="C136" s="25"/>
      <c r="D136" s="166"/>
      <c r="E136" s="166"/>
      <c r="F136" s="63"/>
      <c r="G136" s="1"/>
      <c r="H136" s="46"/>
      <c r="I136" s="50"/>
      <c r="J136"/>
      <c r="L136"/>
      <c r="M136" s="171" t="s">
        <v>35</v>
      </c>
      <c r="N136" s="179"/>
      <c r="O136" s="179"/>
      <c r="P136" s="179"/>
      <c r="Q136" s="179"/>
      <c r="R136" s="179"/>
      <c r="S136" s="179"/>
      <c r="T136" s="179"/>
      <c r="U136" s="180"/>
      <c r="V136" s="51"/>
    </row>
    <row r="137" spans="1:23" ht="15" thickBot="1" x14ac:dyDescent="0.35">
      <c r="A137" s="25"/>
      <c r="B137" s="20"/>
      <c r="C137" s="25"/>
      <c r="D137" s="166"/>
      <c r="E137" s="166"/>
      <c r="F137" s="63"/>
      <c r="G137" s="1"/>
      <c r="H137" s="46"/>
      <c r="I137" s="50"/>
      <c r="J137"/>
      <c r="L137" s="49" t="s">
        <v>59</v>
      </c>
      <c r="M137" s="130" t="s">
        <v>55</v>
      </c>
      <c r="N137" s="131"/>
      <c r="O137" s="131"/>
      <c r="P137" s="131" t="s">
        <v>56</v>
      </c>
      <c r="Q137" s="131"/>
      <c r="R137" s="131"/>
      <c r="S137" s="131"/>
      <c r="T137" s="131" t="s">
        <v>57</v>
      </c>
      <c r="U137" s="132" t="s">
        <v>60</v>
      </c>
      <c r="V137" s="144" t="s">
        <v>58</v>
      </c>
      <c r="W137" s="144" t="s">
        <v>50</v>
      </c>
    </row>
    <row r="138" spans="1:23" ht="15.6" x14ac:dyDescent="0.3">
      <c r="A138" s="25"/>
      <c r="B138" s="115"/>
      <c r="C138" s="25"/>
      <c r="D138" s="166"/>
      <c r="E138" s="166"/>
      <c r="F138" s="63"/>
      <c r="G138" s="1"/>
      <c r="H138" s="46"/>
      <c r="I138" s="50"/>
      <c r="J138" s="23"/>
      <c r="L138" s="0"/>
      <c r="M138" s="59"/>
      <c r="N138" s="60"/>
      <c r="O138" s="143" t="s">
        <v>43</v>
      </c>
      <c r="P138" s="62"/>
      <c r="Q138" s="61"/>
      <c r="R138" s="177" t="inlineStr">
        <is>
          <t xml:space="preserve">CREDITO</t>
        </is>
      </c>
      <c r="S138" s="177"/>
      <c r="T138" s="133"/>
      <c r="U138" s="134"/>
      <c r="V138" s="51"/>
    </row>
    <row r="139" spans="1:23" ht="15.6" x14ac:dyDescent="0.3">
      <c r="B139" s="51"/>
      <c r="C139" s="89"/>
      <c r="D139" s="166"/>
      <c r="E139" s="166"/>
      <c r="F139" s="63"/>
      <c r="I139" s="115"/>
      <c r="L139"/>
      <c r="M139" s="85"/>
      <c r="N139" s="86"/>
      <c r="O139" s="18"/>
      <c r="P139" s="87"/>
      <c r="Q139" s="56"/>
      <c r="R139" s="175"/>
      <c r="S139" s="175"/>
      <c r="T139" s="65"/>
      <c r="U139" s="95"/>
      <c r="V139" s="51"/>
    </row>
    <row r="140" spans="1:23" ht="15.6" x14ac:dyDescent="0.3">
      <c r="A140" s="49"/>
      <c r="B140" s="89"/>
      <c r="C140" s="89"/>
      <c r="D140" s="23"/>
      <c r="E140" s="25"/>
      <c r="F140" s="63"/>
      <c r="I140" s="115"/>
      <c r="L140" s="45"/>
      <c r="M140" s="85"/>
      <c r="N140" s="86"/>
      <c r="O140" s="18" t="s">
        <v>43</v>
      </c>
      <c r="P140" s="87"/>
      <c r="Q140" s="56"/>
      <c r="R140" s="175" t="inlineStr">
        <is>
          <t xml:space="preserve">TRANSFERENCIA</t>
        </is>
      </c>
      <c r="S140" s="175"/>
      <c r="T140" s="65"/>
      <c r="U140" s="95"/>
      <c r="V140" s="51"/>
    </row>
    <row r="141" spans="1:23" ht="15.6" x14ac:dyDescent="0.3">
      <c r="L141" s="45"/>
      <c r="M141" s="85"/>
      <c r="N141" s="86"/>
      <c r="O141" s="123"/>
      <c r="P141" s="87"/>
      <c r="Q141" s="56"/>
      <c r="R141" s="175"/>
      <c r="S141" s="175"/>
      <c r="T141" s="65"/>
      <c r="U141" s="95"/>
      <c r="V141" s="51"/>
    </row>
    <row r="142" spans="1:23" ht="15.6" x14ac:dyDescent="0.3">
      <c r="L142" s="45"/>
      <c r="M142" s="137" t="s">
        <v>61</v>
      </c>
      <c r="N142" s="138"/>
      <c r="O142" s="139"/>
      <c r="P142" s="140"/>
      <c r="Q142" s="141"/>
      <c r="R142" s="176"/>
      <c r="S142" s="176"/>
      <c r="T142" s="173"/>
      <c r="U142" s="174"/>
      <c r="V142" s="51"/>
    </row>
    <row r="143" spans="1:23" ht="15.6" x14ac:dyDescent="0.3">
      <c r="L143" s="45"/>
      <c r="M143" s="137" t="s">
        <v>62</v>
      </c>
      <c r="N143" s="138"/>
      <c r="O143" s="139"/>
      <c r="P143" s="140"/>
      <c r="Q143" s="141"/>
      <c r="R143" s="142"/>
      <c r="S143" s="142"/>
      <c r="T143" s="173"/>
      <c r="U143" s="174"/>
      <c r="V143" s="51"/>
    </row>
    <row r="144" spans="1:23" ht="16.2" thickBot="1" x14ac:dyDescent="0.35">
      <c r="L144" s="45"/>
      <c r="M144" s="94"/>
      <c r="N144" s="64"/>
      <c r="O144" s="123"/>
      <c r="P144" s="87"/>
      <c r="Q144" s="56"/>
      <c r="R144" s="56"/>
      <c r="S144" s="56"/>
      <c r="T144" s="65"/>
      <c r="U144" s="95"/>
      <c r="V144" s="51"/>
    </row>
    <row r="145" spans="1:23" ht="16.2" thickBot="1" x14ac:dyDescent="0.35">
      <c r="L145" s="45"/>
      <c r="M145" s="101" t="s">
        <v>11</v>
      </c>
      <c r="N145" s="102">
        <f>SUM(N143:N144)</f>
        <v>0</v>
      </c>
      <c r="O145" s="96"/>
      <c r="P145" s="98"/>
      <c r="Q145" s="97"/>
      <c r="R145" s="97"/>
      <c r="S145" s="97"/>
      <c r="T145" s="99"/>
      <c r="U145" s="100"/>
      <c r="V145" s="51"/>
    </row>
    <row r="146" spans="1:23" x14ac:dyDescent="0.3">
      <c r="M146"/>
      <c r="O146" s="5"/>
      <c r="Q146"/>
      <c r="S146"/>
      <c r="T146" s="6"/>
      <c r="V146" s="51"/>
    </row>
    <row r="147" spans="1:23" x14ac:dyDescent="0.3">
      <c r="O147"/>
      <c r="V147" s="51"/>
    </row>
    <row r="148" spans="13:22" x14ac:dyDescent="0.3">
      <c r="M148" s="23"/>
      <c r="N148" s="23"/>
      <c r="O148" s="23"/>
      <c r="P148" s="23"/>
      <c r="Q148" s="23"/>
      <c r="V148" s="51"/>
    </row>
    <row r="149" spans="13:22" x14ac:dyDescent="0.3">
      <c r="V149" s="51"/>
    </row>
    <row r="150" spans="13:22" x14ac:dyDescent="0.3">
      <c r="V150" s="51"/>
    </row>
    <row r="151" spans="13:22" x14ac:dyDescent="0.3">
      <c r="V151" s="51"/>
    </row>
    <row r="152" spans="13:22" x14ac:dyDescent="0.3">
      <c r="V152" s="51"/>
    </row>
    <row r="153" spans="13:22" x14ac:dyDescent="0.3">
      <c r="V153" s="51"/>
    </row>
    <row r="154" spans="13:22" x14ac:dyDescent="0.3">
      <c r="V154" s="51"/>
    </row>
    <row r="155" spans="13:22" x14ac:dyDescent="0.3">
      <c r="V155" s="51"/>
    </row>
    <row r="156" spans="13:22" x14ac:dyDescent="0.3">
      <c r="V156" s="51"/>
    </row>
    <row r="157" spans="13:22" x14ac:dyDescent="0.3">
      <c r="V157" s="51"/>
    </row>
    <row r="158" spans="13:22" x14ac:dyDescent="0.3">
      <c r="V158" s="51"/>
    </row>
    <row r="159" spans="13:22" x14ac:dyDescent="0.3">
      <c r="V159" s="51"/>
    </row>
    <row r="160" spans="13:22" x14ac:dyDescent="0.3">
      <c r="V160" s="51"/>
    </row>
    <row r="161" spans="13:22" x14ac:dyDescent="0.3">
      <c r="V161" s="51"/>
    </row>
    <row r="162" spans="13:22" x14ac:dyDescent="0.3">
      <c r="V162" s="51"/>
    </row>
    <row r="163" spans="13:22" x14ac:dyDescent="0.3">
      <c r="V163" s="51"/>
    </row>
    <row r="164" spans="22:22" x14ac:dyDescent="0.3">
      <c r="V164" s="51"/>
    </row>
    <row r="165" spans="22:22" x14ac:dyDescent="0.3">
      <c r="V165" s="51"/>
    </row>
    <row r="166" spans="22:22" x14ac:dyDescent="0.3">
      <c r="V166" s="51"/>
    </row>
    <row r="167" spans="22:22" x14ac:dyDescent="0.3">
      <c r="V167" s="51"/>
    </row>
    <row r="168" spans="22:22" x14ac:dyDescent="0.3">
      <c r="V168" s="51"/>
    </row>
    <row r="169" spans="22:22" x14ac:dyDescent="0.3">
      <c r="V169" s="51"/>
    </row>
    <row r="170" spans="22:22" x14ac:dyDescent="0.3">
      <c r="V170" s="51"/>
    </row>
    <row r="171" spans="22:22" x14ac:dyDescent="0.3">
      <c r="V171" s="51"/>
    </row>
    <row r="172" spans="22:22" x14ac:dyDescent="0.3">
      <c r="V172" s="51"/>
    </row>
    <row r="173" spans="22:22" x14ac:dyDescent="0.3">
      <c r="V173" s="51"/>
    </row>
    <row r="174" spans="22:22" x14ac:dyDescent="0.3">
      <c r="V174" s="51"/>
    </row>
    <row r="175" spans="22:22" x14ac:dyDescent="0.3">
      <c r="V175" s="51"/>
    </row>
    <row r="176" spans="22:22" x14ac:dyDescent="0.3">
      <c r="V176" s="51"/>
    </row>
    <row r="177" spans="22:22" x14ac:dyDescent="0.3">
      <c r="V177" s="51"/>
    </row>
    <row r="178" spans="22:22" x14ac:dyDescent="0.3">
      <c r="V178" s="51"/>
    </row>
    <row r="179" spans="22:22" x14ac:dyDescent="0.3">
      <c r="V179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110:E110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105:N105"/>
    <mergeCell ref="D138:E138"/>
    <mergeCell ref="D139:E139"/>
    <mergeCell ref="D119:E119"/>
    <mergeCell ref="M136:U136"/>
    <mergeCell ref="R134:S134"/>
    <mergeCell ref="D135:E135"/>
    <mergeCell ref="P134:Q134"/>
    <mergeCell ref="T134:U134"/>
    <mergeCell ref="D127:E127"/>
    <mergeCell ref="D133:E133"/>
    <mergeCell ref="D120:E120"/>
    <mergeCell ref="D132:E132"/>
    <mergeCell ref="D121:E121"/>
    <mergeCell ref="D131:E131"/>
    <mergeCell ref="T143:U143"/>
    <mergeCell ref="R141:S141"/>
    <mergeCell ref="R142:S142"/>
    <mergeCell ref="R138:S138"/>
    <mergeCell ref="R140:S140"/>
    <mergeCell ref="R139:S139"/>
    <mergeCell ref="T142:U142"/>
    <mergeCell ref="D137:E137"/>
    <mergeCell ref="D136:E136"/>
    <mergeCell ref="M134:O134"/>
    <mergeCell ref="D111:E111"/>
    <mergeCell ref="D113:E113"/>
    <mergeCell ref="M132:N132"/>
    <mergeCell ref="D115:E115"/>
    <mergeCell ref="D116:E116"/>
    <mergeCell ref="D114:E114"/>
    <mergeCell ref="D112:E112"/>
    <mergeCell ref="D118:E118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