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esteb\Documents\proyecto_cursor\proyectoisaqwenvisor\templates\"/>
    </mc:Choice>
  </mc:AlternateContent>
  <xr:revisionPtr revIDLastSave="0" documentId="13_ncr:1_{D49775DE-810D-4758-A059-F713516FBF24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RUTA" sheetId="1" r:id="rId1"/>
  </sheets>
  <calcPr calcMode="auto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<sst xmlns="http://schemas.openxmlformats.org/spreadsheetml/2006/main" count="137" uniqueCount="108">
  <si>
    <t>RECORRIDO</t>
  </si>
  <si>
    <t>N° FACT</t>
  </si>
  <si>
    <t>TOTAL FACT</t>
  </si>
  <si>
    <t>EFECTIVO</t>
  </si>
  <si>
    <t>CHEQUES DIA</t>
  </si>
  <si>
    <t>CHEQUES FECHA</t>
  </si>
  <si>
    <t>CREDITO</t>
  </si>
  <si>
    <t>RECHAZO TOTAL</t>
  </si>
  <si>
    <t>RECHAZO PARCIAL</t>
  </si>
  <si>
    <t>N/C NEGOCIO</t>
  </si>
  <si>
    <t>TRANSFERENCIA</t>
  </si>
  <si>
    <t>TOTAL</t>
  </si>
  <si>
    <t>DIFERENC.</t>
  </si>
  <si>
    <t>Fecha</t>
  </si>
  <si>
    <t>RUTA</t>
  </si>
  <si>
    <t xml:space="preserve"> </t>
  </si>
  <si>
    <t>Efectivo</t>
  </si>
  <si>
    <t>Datos Deposito</t>
  </si>
  <si>
    <t>Cheques al Dia</t>
  </si>
  <si>
    <t>Cuenta Corriente</t>
  </si>
  <si>
    <t>Cheques a Fecha</t>
  </si>
  <si>
    <t>Credito</t>
  </si>
  <si>
    <t>Retorno Total</t>
  </si>
  <si>
    <t>retorno Parcial</t>
  </si>
  <si>
    <t>N/C Negocios</t>
  </si>
  <si>
    <t xml:space="preserve">Tranferencia </t>
  </si>
  <si>
    <t>Total</t>
  </si>
  <si>
    <t>Detalle de Cheques</t>
  </si>
  <si>
    <t>N/C   Rechazo Total</t>
  </si>
  <si>
    <t>N/C  Rechazo Parcial</t>
  </si>
  <si>
    <t>N/C   Por Negocios</t>
  </si>
  <si>
    <t>Banco</t>
  </si>
  <si>
    <t>Valor</t>
  </si>
  <si>
    <t>No. Fac</t>
  </si>
  <si>
    <t>TOTAL CHQ FECHA</t>
  </si>
  <si>
    <t>OBSERVACIONES</t>
  </si>
  <si>
    <t>]</t>
  </si>
  <si>
    <t>MONTO EN EFECTIVO</t>
  </si>
  <si>
    <t xml:space="preserve">Cant.Facturas     </t>
  </si>
  <si>
    <t>Bco Santander</t>
  </si>
  <si>
    <t>Nro. 7323530-8</t>
  </si>
  <si>
    <t xml:space="preserve">Titular: Friex Spa </t>
  </si>
  <si>
    <t>TOTAL CHQ AL DIA</t>
  </si>
  <si>
    <t>F/.</t>
  </si>
  <si>
    <t>CANT FACTURAS</t>
  </si>
  <si>
    <t>TOTAL RUTA</t>
  </si>
  <si>
    <t>DIFERENCIA</t>
  </si>
  <si>
    <t>#  Deposito PROSEGUR :</t>
  </si>
  <si>
    <t>FRIEX SPA        RESUMEN RUTA CONFITES Y ABL</t>
  </si>
  <si>
    <t>,</t>
  </si>
  <si>
    <t>CHOFER</t>
  </si>
  <si>
    <t>PEONETA</t>
  </si>
  <si>
    <t>SECTOR ENTREGA</t>
  </si>
  <si>
    <t>Monedas</t>
  </si>
  <si>
    <t>MONEDAS</t>
  </si>
  <si>
    <t>CLIENTE</t>
  </si>
  <si>
    <t>N/FACTURA</t>
  </si>
  <si>
    <t>MONTO</t>
  </si>
  <si>
    <t>CODIGO VENDEDOR</t>
  </si>
  <si>
    <t>n° recorrido</t>
  </si>
  <si>
    <t>BANCO</t>
  </si>
  <si>
    <t>FALTANTE REC</t>
  </si>
  <si>
    <t xml:space="preserve">FALTANTE REC </t>
  </si>
  <si>
    <t>{{extraction.fecha.valor}}</t>
  </si>
  <si>
    <t>{{extraction.rendicion.cheques_al_dia.valor}}</t>
  </si>
  <si>
    <t>{{extraction.rendicion.cheques_a_fecha.valor}}</t>
  </si>
  <si>
    <t>{{extraction.rendicion.credito_vendedor.valor}}</t>
  </si>
  <si>
    <t>{{extraction.rendicion.retorno_total.valor}}</t>
  </si>
  <si>
    <t>{{extraction.rendicion.retorno_parcial.valor}}</t>
  </si>
  <si>
    <t>{{extraction.rendicion.n_c_negocio.valor}}</t>
  </si>
  <si>
    <t>{{extraction.rendicion.transferencia.valor}}</t>
  </si>
  <si>
    <t>{{extraction.rendicion.total.valor}}</t>
  </si>
  <si>
    <t>{{extraction.total_n_c_rechazo_total.valor}}</t>
  </si>
  <si>
    <t>{{extraction.total_n_c_rechazo_parcial.valor}}</t>
  </si>
  <si>
    <t>{{extraction.total_n_c_por_negocios.valor}}</t>
  </si>
  <si>
    <t>{{extraction.cant_fact.valor}}</t>
  </si>
  <si>
    <t>{{extraction.valor_total.valor}}</t>
  </si>
  <si>
    <t>{{chq_fechas}}</t>
  </si>
  <si>
    <t>{{chq_bancos}}</t>
  </si>
  <si>
    <t>{{chq_valores}}</t>
  </si>
  <si>
    <t>{{rech_tot_fac}}</t>
  </si>
  <si>
    <t>{{rech_tot_val}}</t>
  </si>
  <si>
    <t>{{rech_par_fac}}</t>
  </si>
  <si>
    <t>{{rech_par_val}}</t>
  </si>
  <si>
    <t>{{neg_fac}}</t>
  </si>
  <si>
    <t>{{neg_val}}</t>
  </si>
  <si>
    <t>{{cred_cliente}}</t>
  </si>
  <si>
    <t>{{cred_fac}}</t>
  </si>
  <si>
    <t>{{cred_valor}}</t>
  </si>
  <si>
    <t>{{cred_vend}}</t>
  </si>
  <si>
    <t>{{transf_recorrido}}</t>
  </si>
  <si>
    <t>{{transf_cliente}}</t>
  </si>
  <si>
    <t>{{transf_fac}}</t>
  </si>
  <si>
    <t>{{transf_valor}}</t>
  </si>
  <si>
    <t>{{extraction.rendicion.detalles_cheques.total_billetes.valor}}</t>
  </si>
  <si>
    <t>{{extraction.rendicion.detalles_cheques.total_monedas.valor}}</t>
  </si>
  <si>
    <t>{{transf_banco}}</t>
  </si>
  <si>
    <t>{{chq_dia_fechas}}</t>
  </si>
  <si>
    <t>{{chq_dia_bancos}}</t>
  </si>
  <si>
    <t>{{chq_dia_valores}}</t>
  </si>
  <si>
    <t>{{extraction._meta.bitacora.excel.conductor}}</t>
  </si>
  <si>
    <t>{{extraction._meta.bitacora.excel.auxiliar}}</t>
  </si>
  <si>
    <t>{{extraction._meta.bitacora.excel.observaciones}}</t>
  </si>
  <si>
    <t>{{extraction._meta.bitacora.excel.sector}}</t>
  </si>
  <si>
    <t>{{extraction._meta.bitacora.excel.recorrido}}</t>
  </si>
  <si>
    <t>{{extraction._meta.bitacora.excel.n_factura}}</t>
  </si>
  <si>
    <t>{{extraction._meta.bitacora.excel.total_factura}}</t>
  </si>
  <si>
    <t>{{cred_recorrido}}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</si>
</sst>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&quot;$&quot;\ #,##0;[Red]\-&quot;$&quot;\ #,##0"/>
    <numFmt numFmtId="165" formatCode="#,##0_ ;[Red]\-#,##0\ "/>
    <numFmt numFmtId="166" formatCode="&quot;$&quot;\ #,##0"/>
    <numFmt numFmtId="167" formatCode="_ &quot;$&quot;* #,##0_ ;_ &quot;$&quot;* \-#,##0_ ;_ &quot;$&quot;* &quot;-&quot;??_ ;_ @_ "/>
    <numFmt numFmtId="168" formatCode="dd/mm/yy;@"/>
    <numFmt numFmtId="169" formatCode="#,##0_ ;\-#,##0\ "/>
    <numFmt numFmtId="170" formatCode="[$-F800]dddd\,\ mmmm\ dd\,\ yyyy"/>
    <numFmt numFmtId="171" formatCode="_-&quot;$&quot;\ * #,##0_-;\-&quot;$&quot;\ * #,##0_-;_-&quot;$&quot;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0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42" fontId="0" fillId="0" borderId="0" xfId="2" applyFont="1"/>
    <xf numFmtId="0" fontId="0" fillId="0" borderId="0" xfId="0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0" xfId="0" applyFont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0" borderId="0" xfId="0" applyFont="1"/>
    <xf numFmtId="164" fontId="0" fillId="0" borderId="0" xfId="0" applyNumberFormat="1"/>
    <xf numFmtId="0" fontId="6" fillId="0" borderId="6" xfId="0" applyFont="1" applyBorder="1" applyAlignment="1">
      <alignment horizontal="center" vertical="center"/>
    </xf>
    <xf numFmtId="0" fontId="10" fillId="0" borderId="0" xfId="0" applyFont="1"/>
    <xf numFmtId="0" fontId="8" fillId="0" borderId="11" xfId="0" applyFont="1" applyBorder="1"/>
    <xf numFmtId="42" fontId="6" fillId="0" borderId="0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wrapText="1"/>
    </xf>
    <xf numFmtId="0" fontId="6" fillId="0" borderId="0" xfId="0" applyFont="1" applyAlignment="1">
      <alignment horizontal="center"/>
    </xf>
    <xf numFmtId="42" fontId="3" fillId="0" borderId="0" xfId="0" applyNumberFormat="1" applyFont="1" applyAlignment="1">
      <alignment vertical="center"/>
    </xf>
    <xf numFmtId="42" fontId="8" fillId="0" borderId="0" xfId="2" applyFont="1" applyFill="1" applyBorder="1" applyAlignment="1">
      <alignment horizontal="left"/>
    </xf>
    <xf numFmtId="0" fontId="8" fillId="0" borderId="0" xfId="0" applyFont="1" applyAlignment="1">
      <alignment horizontal="center"/>
    </xf>
    <xf numFmtId="42" fontId="0" fillId="0" borderId="0" xfId="0" applyNumberFormat="1"/>
    <xf numFmtId="0" fontId="8" fillId="0" borderId="0" xfId="0" applyFont="1"/>
    <xf numFmtId="0" fontId="8" fillId="0" borderId="22" xfId="0" applyFont="1" applyBorder="1"/>
    <xf numFmtId="42" fontId="6" fillId="2" borderId="0" xfId="2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/>
    </xf>
    <xf numFmtId="0" fontId="8" fillId="0" borderId="27" xfId="0" applyFont="1" applyBorder="1"/>
    <xf numFmtId="0" fontId="8" fillId="0" borderId="26" xfId="0" applyFont="1" applyBorder="1" applyAlignment="1">
      <alignment horizontal="left"/>
    </xf>
    <xf numFmtId="42" fontId="0" fillId="0" borderId="0" xfId="0" applyNumberFormat="1" applyAlignment="1">
      <alignment horizontal="center"/>
    </xf>
    <xf numFmtId="0" fontId="6" fillId="0" borderId="0" xfId="0" applyFont="1"/>
    <xf numFmtId="0" fontId="6" fillId="0" borderId="31" xfId="0" applyFont="1" applyBorder="1"/>
    <xf numFmtId="0" fontId="3" fillId="0" borderId="29" xfId="0" applyFont="1" applyBorder="1" applyAlignment="1">
      <alignment horizontal="center" vertical="center"/>
    </xf>
    <xf numFmtId="42" fontId="6" fillId="0" borderId="31" xfId="2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168" fontId="8" fillId="0" borderId="15" xfId="0" applyNumberFormat="1" applyFont="1" applyBorder="1" applyAlignment="1">
      <alignment vertical="center"/>
    </xf>
    <xf numFmtId="3" fontId="14" fillId="0" borderId="1" xfId="0" applyNumberFormat="1" applyFont="1" applyBorder="1" applyAlignment="1">
      <alignment horizontal="center" vertical="center"/>
    </xf>
    <xf numFmtId="42" fontId="8" fillId="0" borderId="23" xfId="2" applyFont="1" applyFill="1" applyBorder="1" applyAlignment="1">
      <alignment horizontal="center" vertical="center"/>
    </xf>
    <xf numFmtId="4" fontId="8" fillId="0" borderId="0" xfId="0" applyNumberFormat="1" applyFont="1"/>
    <xf numFmtId="0" fontId="13" fillId="0" borderId="0" xfId="0" applyFont="1" applyAlignment="1">
      <alignment horizontal="right"/>
    </xf>
    <xf numFmtId="42" fontId="6" fillId="0" borderId="25" xfId="2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167" fontId="0" fillId="0" borderId="0" xfId="1" applyNumberFormat="1" applyFont="1" applyBorder="1"/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7" fontId="0" fillId="0" borderId="0" xfId="0" applyNumberFormat="1"/>
    <xf numFmtId="0" fontId="14" fillId="0" borderId="0" xfId="0" applyFont="1"/>
    <xf numFmtId="168" fontId="6" fillId="0" borderId="28" xfId="0" applyNumberFormat="1" applyFont="1" applyBorder="1" applyAlignment="1">
      <alignment horizontal="center"/>
    </xf>
    <xf numFmtId="42" fontId="8" fillId="0" borderId="0" xfId="2" applyFont="1" applyFill="1" applyBorder="1" applyAlignment="1">
      <alignment horizontal="center" vertical="center"/>
    </xf>
    <xf numFmtId="168" fontId="6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9" fillId="0" borderId="29" xfId="0" applyFont="1" applyBorder="1" applyAlignment="1">
      <alignment horizontal="center" vertical="center"/>
    </xf>
    <xf numFmtId="167" fontId="9" fillId="0" borderId="29" xfId="1" applyNumberFormat="1" applyFont="1" applyFill="1" applyBorder="1" applyAlignment="1">
      <alignment vertical="center"/>
    </xf>
    <xf numFmtId="169" fontId="4" fillId="0" borderId="17" xfId="0" applyNumberFormat="1" applyFont="1" applyBorder="1" applyAlignment="1">
      <alignment vertical="center"/>
    </xf>
    <xf numFmtId="167" fontId="4" fillId="0" borderId="19" xfId="1" applyNumberFormat="1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top"/>
    </xf>
    <xf numFmtId="42" fontId="8" fillId="0" borderId="0" xfId="2" applyFont="1" applyBorder="1" applyAlignment="1">
      <alignment horizontal="center"/>
    </xf>
    <xf numFmtId="167" fontId="0" fillId="0" borderId="0" xfId="1" applyNumberFormat="1" applyFont="1" applyFill="1" applyBorder="1"/>
    <xf numFmtId="167" fontId="18" fillId="0" borderId="0" xfId="1" applyNumberFormat="1" applyFont="1" applyFill="1" applyBorder="1" applyAlignment="1">
      <alignment vertical="center"/>
    </xf>
    <xf numFmtId="42" fontId="8" fillId="0" borderId="16" xfId="2" applyFont="1" applyFill="1" applyBorder="1" applyAlignment="1">
      <alignment horizontal="left" vertical="center"/>
    </xf>
    <xf numFmtId="42" fontId="15" fillId="0" borderId="16" xfId="2" applyFont="1" applyFill="1" applyBorder="1" applyAlignment="1">
      <alignment vertical="center"/>
    </xf>
    <xf numFmtId="42" fontId="8" fillId="0" borderId="16" xfId="2" applyFont="1" applyFill="1" applyBorder="1" applyAlignment="1">
      <alignment horizontal="center" vertical="center"/>
    </xf>
    <xf numFmtId="42" fontId="6" fillId="0" borderId="19" xfId="0" applyNumberFormat="1" applyFont="1" applyBorder="1" applyAlignment="1">
      <alignment horizontal="center"/>
    </xf>
    <xf numFmtId="42" fontId="3" fillId="0" borderId="0" xfId="2" applyFont="1" applyFill="1" applyBorder="1" applyAlignment="1">
      <alignment horizontal="center"/>
    </xf>
    <xf numFmtId="42" fontId="8" fillId="0" borderId="16" xfId="2" applyFont="1" applyBorder="1" applyAlignment="1">
      <alignment horizontal="center" vertical="center"/>
    </xf>
    <xf numFmtId="42" fontId="15" fillId="0" borderId="16" xfId="2" applyFont="1" applyFill="1" applyBorder="1" applyAlignment="1">
      <alignment horizontal="center" vertical="center"/>
    </xf>
    <xf numFmtId="42" fontId="15" fillId="0" borderId="16" xfId="2" applyFont="1" applyFill="1" applyBorder="1" applyAlignment="1">
      <alignment horizontal="center"/>
    </xf>
    <xf numFmtId="42" fontId="15" fillId="0" borderId="16" xfId="2" applyFont="1" applyFill="1" applyBorder="1" applyAlignment="1">
      <alignment horizontal="left"/>
    </xf>
    <xf numFmtId="42" fontId="8" fillId="0" borderId="16" xfId="2" applyFont="1" applyFill="1" applyBorder="1" applyAlignment="1">
      <alignment horizontal="center"/>
    </xf>
    <xf numFmtId="42" fontId="8" fillId="0" borderId="16" xfId="2" applyFont="1" applyFill="1" applyBorder="1" applyAlignment="1">
      <alignment vertical="center"/>
    </xf>
    <xf numFmtId="42" fontId="8" fillId="0" borderId="9" xfId="2" applyFont="1" applyFill="1" applyBorder="1" applyAlignment="1">
      <alignment horizontal="center"/>
    </xf>
    <xf numFmtId="42" fontId="15" fillId="0" borderId="9" xfId="2" applyFont="1" applyFill="1" applyBorder="1" applyAlignment="1">
      <alignment horizontal="left"/>
    </xf>
    <xf numFmtId="0" fontId="6" fillId="0" borderId="2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2" fontId="8" fillId="0" borderId="13" xfId="2" applyFont="1" applyFill="1" applyBorder="1" applyAlignment="1">
      <alignment horizontal="left"/>
    </xf>
    <xf numFmtId="169" fontId="4" fillId="0" borderId="21" xfId="0" applyNumberFormat="1" applyFont="1" applyBorder="1" applyAlignment="1">
      <alignment vertical="center"/>
    </xf>
    <xf numFmtId="167" fontId="4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left" vertical="top"/>
    </xf>
    <xf numFmtId="42" fontId="15" fillId="0" borderId="14" xfId="2" applyFont="1" applyFill="1" applyBorder="1" applyAlignment="1">
      <alignment vertical="center"/>
    </xf>
    <xf numFmtId="0" fontId="8" fillId="0" borderId="0" xfId="0" applyFont="1" applyAlignment="1">
      <alignment horizontal="left"/>
    </xf>
    <xf numFmtId="2" fontId="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6" fontId="3" fillId="2" borderId="0" xfId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 wrapText="1"/>
    </xf>
    <xf numFmtId="167" fontId="3" fillId="0" borderId="21" xfId="1" applyNumberFormat="1" applyFont="1" applyFill="1" applyBorder="1"/>
    <xf numFmtId="167" fontId="18" fillId="0" borderId="22" xfId="1" applyNumberFormat="1" applyFont="1" applyFill="1" applyBorder="1" applyAlignment="1">
      <alignment vertical="center"/>
    </xf>
    <xf numFmtId="42" fontId="0" fillId="0" borderId="5" xfId="2" applyFont="1" applyFill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top"/>
    </xf>
    <xf numFmtId="167" fontId="18" fillId="0" borderId="5" xfId="1" applyNumberFormat="1" applyFont="1" applyFill="1" applyBorder="1" applyAlignment="1">
      <alignment vertical="center"/>
    </xf>
    <xf numFmtId="167" fontId="18" fillId="0" borderId="27" xfId="1" applyNumberFormat="1" applyFont="1" applyFill="1" applyBorder="1" applyAlignment="1">
      <alignment vertical="center"/>
    </xf>
    <xf numFmtId="167" fontId="3" fillId="0" borderId="31" xfId="1" applyNumberFormat="1" applyFont="1" applyFill="1" applyBorder="1"/>
    <xf numFmtId="167" fontId="0" fillId="0" borderId="31" xfId="1" applyNumberFormat="1" applyFont="1" applyFill="1" applyBorder="1"/>
    <xf numFmtId="3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3" fontId="6" fillId="0" borderId="35" xfId="0" applyNumberFormat="1" applyFont="1" applyBorder="1"/>
    <xf numFmtId="3" fontId="6" fillId="0" borderId="25" xfId="0" applyNumberFormat="1" applyFont="1" applyBorder="1"/>
    <xf numFmtId="0" fontId="8" fillId="0" borderId="36" xfId="0" applyFont="1" applyBorder="1" applyAlignment="1">
      <alignment horizontal="center"/>
    </xf>
    <xf numFmtId="0" fontId="13" fillId="0" borderId="0" xfId="0" applyFont="1" applyAlignment="1">
      <alignment horizontal="right" vertical="center"/>
    </xf>
    <xf numFmtId="16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3" fontId="8" fillId="0" borderId="0" xfId="0" applyNumberFormat="1" applyFont="1" applyAlignment="1">
      <alignment horizontal="left"/>
    </xf>
    <xf numFmtId="165" fontId="0" fillId="0" borderId="1" xfId="0" applyNumberFormat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/>
    </xf>
    <xf numFmtId="0" fontId="11" fillId="0" borderId="34" xfId="0" applyFont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168" fontId="6" fillId="0" borderId="17" xfId="0" applyNumberFormat="1" applyFont="1" applyBorder="1" applyAlignment="1">
      <alignment horizontal="center" vertical="center"/>
    </xf>
    <xf numFmtId="168" fontId="6" fillId="0" borderId="19" xfId="0" applyNumberFormat="1" applyFont="1" applyBorder="1" applyAlignment="1">
      <alignment horizontal="center" vertical="center"/>
    </xf>
    <xf numFmtId="168" fontId="6" fillId="0" borderId="18" xfId="0" applyNumberFormat="1" applyFont="1" applyBorder="1" applyAlignment="1">
      <alignment horizontal="center" vertical="center"/>
    </xf>
    <xf numFmtId="167" fontId="18" fillId="0" borderId="19" xfId="1" applyNumberFormat="1" applyFont="1" applyFill="1" applyBorder="1" applyAlignment="1">
      <alignment vertical="center"/>
    </xf>
    <xf numFmtId="167" fontId="18" fillId="0" borderId="18" xfId="1" applyNumberFormat="1" applyFont="1" applyFill="1" applyBorder="1" applyAlignment="1">
      <alignment vertical="center"/>
    </xf>
    <xf numFmtId="42" fontId="8" fillId="0" borderId="14" xfId="2" applyFont="1" applyFill="1" applyBorder="1" applyAlignment="1">
      <alignment horizontal="left" vertical="center"/>
    </xf>
    <xf numFmtId="42" fontId="6" fillId="3" borderId="0" xfId="2" applyFont="1" applyFill="1" applyBorder="1" applyAlignment="1">
      <alignment horizontal="center" vertical="center"/>
    </xf>
    <xf numFmtId="169" fontId="4" fillId="4" borderId="21" xfId="0" applyNumberFormat="1" applyFont="1" applyFill="1" applyBorder="1" applyAlignment="1">
      <alignment vertical="center"/>
    </xf>
    <xf numFmtId="167" fontId="4" fillId="4" borderId="0" xfId="1" applyNumberFormat="1" applyFont="1" applyFill="1" applyBorder="1" applyAlignment="1">
      <alignment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left" vertical="top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6" fillId="0" borderId="31" xfId="0" applyNumberFormat="1" applyFont="1" applyBorder="1" applyAlignment="1">
      <alignment horizontal="center" vertical="center"/>
    </xf>
    <xf numFmtId="42" fontId="6" fillId="0" borderId="2" xfId="2" applyFont="1" applyBorder="1" applyAlignment="1">
      <alignment vertical="center"/>
    </xf>
    <xf numFmtId="42" fontId="6" fillId="0" borderId="4" xfId="2" applyFont="1" applyBorder="1" applyAlignment="1">
      <alignment vertical="center"/>
    </xf>
    <xf numFmtId="42" fontId="6" fillId="0" borderId="16" xfId="2" applyFont="1" applyBorder="1" applyAlignment="1">
      <alignment vertical="center"/>
    </xf>
    <xf numFmtId="0" fontId="6" fillId="0" borderId="6" xfId="0" applyFont="1" applyBorder="1"/>
    <xf numFmtId="0" fontId="6" fillId="0" borderId="8" xfId="0" applyFont="1" applyBorder="1"/>
    <xf numFmtId="168" fontId="6" fillId="0" borderId="30" xfId="0" applyNumberFormat="1" applyFont="1" applyBorder="1" applyAlignment="1">
      <alignment vertical="center"/>
    </xf>
    <xf numFmtId="1" fontId="0" fillId="0" borderId="24" xfId="0" applyNumberFormat="1" applyBorder="1" applyAlignment="1">
      <alignment horizontal="center" vertical="center"/>
    </xf>
    <xf numFmtId="1" fontId="8" fillId="0" borderId="24" xfId="0" applyNumberFormat="1" applyFont="1" applyBorder="1" applyAlignment="1">
      <alignment horizontal="center" vertical="center"/>
    </xf>
    <xf numFmtId="1" fontId="8" fillId="0" borderId="20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/>
    </xf>
    <xf numFmtId="1" fontId="8" fillId="0" borderId="32" xfId="0" applyNumberFormat="1" applyFont="1" applyBorder="1" applyAlignment="1">
      <alignment horizontal="center" vertical="center"/>
    </xf>
    <xf numFmtId="171" fontId="1" fillId="0" borderId="1" xfId="1" applyNumberFormat="1" applyFont="1" applyFill="1" applyBorder="1"/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3" fontId="0" fillId="0" borderId="0" xfId="0" applyNumberFormat="1" applyAlignment="1">
      <alignment horizontal="right"/>
    </xf>
    <xf numFmtId="3" fontId="0" fillId="0" borderId="38" xfId="0" applyNumberFormat="1" applyBorder="1" applyAlignment="1">
      <alignment horizontal="right"/>
    </xf>
    <xf numFmtId="165" fontId="0" fillId="0" borderId="1" xfId="0" applyNumberFormat="1" applyBorder="1"/>
    <xf numFmtId="42" fontId="1" fillId="0" borderId="1" xfId="3" applyFont="1" applyFill="1" applyBorder="1" applyAlignment="1">
      <alignment horizontal="right" vertical="center" wrapText="1"/>
    </xf>
    <xf numFmtId="42" fontId="8" fillId="0" borderId="1" xfId="2" applyFont="1" applyBorder="1" applyAlignment="1">
      <alignment vertical="center"/>
    </xf>
    <xf numFmtId="42" fontId="8" fillId="0" borderId="0" xfId="2" applyFont="1" applyFill="1" applyBorder="1" applyAlignment="1">
      <alignment horizontal="left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2" fontId="6" fillId="0" borderId="0" xfId="2" applyFont="1" applyBorder="1" applyAlignment="1"/>
    <xf numFmtId="168" fontId="6" fillId="0" borderId="28" xfId="0" applyNumberFormat="1" applyFont="1" applyBorder="1" applyAlignment="1">
      <alignment horizontal="center" vertical="center"/>
    </xf>
    <xf numFmtId="168" fontId="6" fillId="0" borderId="33" xfId="0" applyNumberFormat="1" applyFont="1" applyBorder="1" applyAlignment="1">
      <alignment horizontal="center" vertical="center"/>
    </xf>
    <xf numFmtId="167" fontId="18" fillId="4" borderId="0" xfId="1" applyNumberFormat="1" applyFont="1" applyFill="1" applyBorder="1" applyAlignment="1">
      <alignment horizontal="center" vertical="center"/>
    </xf>
    <xf numFmtId="167" fontId="18" fillId="4" borderId="2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168" fontId="6" fillId="0" borderId="29" xfId="0" applyNumberFormat="1" applyFont="1" applyBorder="1" applyAlignment="1">
      <alignment horizontal="center" vertical="center"/>
    </xf>
    <xf numFmtId="168" fontId="6" fillId="0" borderId="30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42" fontId="7" fillId="0" borderId="28" xfId="0" applyNumberFormat="1" applyFont="1" applyBorder="1" applyAlignment="1">
      <alignment horizontal="center" vertical="center"/>
    </xf>
    <xf numFmtId="42" fontId="7" fillId="0" borderId="3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3" fontId="6" fillId="0" borderId="15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42" fontId="6" fillId="0" borderId="2" xfId="2" applyFont="1" applyBorder="1" applyAlignment="1">
      <alignment horizontal="left" vertical="center"/>
    </xf>
    <xf numFmtId="42" fontId="6" fillId="0" borderId="4" xfId="2" applyFont="1" applyBorder="1" applyAlignment="1">
      <alignment horizontal="left" vertical="center"/>
    </xf>
    <xf numFmtId="42" fontId="6" fillId="0" borderId="16" xfId="2" applyFont="1" applyBorder="1" applyAlignment="1">
      <alignment horizontal="left" vertical="center"/>
    </xf>
    <xf numFmtId="0" fontId="6" fillId="0" borderId="26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6" fillId="0" borderId="21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0" fontId="7" fillId="0" borderId="7" xfId="0" applyNumberFormat="1" applyFont="1" applyBorder="1" applyAlignment="1">
      <alignment horizontal="center" vertical="center"/>
    </xf>
    <xf numFmtId="170" fontId="7" fillId="0" borderId="8" xfId="0" applyNumberFormat="1" applyFont="1" applyBorder="1" applyAlignment="1">
      <alignment horizontal="center" vertical="center"/>
    </xf>
    <xf numFmtId="170" fontId="7" fillId="0" borderId="9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3" fontId="6" fillId="0" borderId="3" xfId="0" applyNumberFormat="1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</cellXfs>
  <cellStyles count="7">
    <cellStyle name="Moneda" xfId="1" builtinId="4"/>
    <cellStyle name="Moneda [0]" xfId="2" builtinId="7"/>
    <cellStyle name="Moneda [0] 2" xfId="3" xr:uid="{1AE1221E-895F-4FC0-9F1C-DF9AB66E70BA}"/>
    <cellStyle name="Moneda [0] 2 2" xfId="5" xr:uid="{FAEC8C1D-1C39-419E-9F5E-51C77978C818}"/>
    <cellStyle name="Moneda [0] 3" xfId="4" xr:uid="{470D5D01-7142-459F-88D7-7F6F3D172ED9}"/>
    <cellStyle name="Moneda 4" xfId="6" xr:uid="{BB1253B4-24EA-4E41-9956-51B4E26697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304800</xdr:colOff>
      <xdr:row>30</xdr:row>
      <xdr:rowOff>99028</xdr:rowOff>
    </xdr:from>
    <xdr:to>
      <xdr:col>20</xdr:col>
      <xdr:colOff>365616</xdr:colOff>
      <xdr:row>33</xdr:row>
      <xdr:rowOff>133262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0" y="5413978"/>
          <a:ext cx="990456" cy="605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 standalone="yes"?>
<worksheet xmlns="http://schemas.openxmlformats.org/spreadsheetml/2006/main" xmlns:r="http://schemas.openxmlformats.org/officeDocument/2006/relationships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000-000000000000}"><dimension ref="A1:W113"/><sheetViews><sheetView tabSelected="1" topLeftCell="A54" zoomScale="85" zoomScaleNormal="85" workbookViewId="0"><pane xSplit="1" topLeftCell="M1" activePane="topRight" state="frozenSplit"/><selection activeCell="A49" sqref="A49"/><selection pane="topRight" activeCell="K71" sqref="K71:V73"/></sheetView></sheetViews><sheetFormatPr baseColWidth="10" defaultRowHeight="14.4" x14ac:dyDescent="0.3"/><cols><col min="1" max="1" width="17.33203125" customWidth="1"/><col min="2" max="2" width="13.88671875" style="1" bestFit="1" customWidth="1"/><col min="3" max="3" width="12.6640625" customWidth="1"/><col min="4" max="4" width="12.6640625" style="3" customWidth="1"/><col min="5" max="5" width="12.6640625" customWidth="1"/><col min="6" max="6" width="12.6640625" style="3" customWidth="1"/><col min="7" max="9" width="12.6640625" customWidth="1"/><col min="10" max="10" width="12.6640625" style="3" customWidth="1"/><col min="11" max="11" width="12.6640625" customWidth="1"/><col min="12" max="12" width="12.6640625" style="3" customWidth="1"/><col min="13" max="13" width="11.5546875" style="3" customWidth="1"/><col min="14" max="14" width="11" bestFit="1" customWidth="1"/><col min="15" max="15" width="11.6640625" style="4" customWidth="1"/><col min="16" max="19" width="11.6640625" style="3" customWidth="1"/><col min="20" max="20" width="13.88671875" customWidth="1"/><col min="21" max="21" width="14" customWidth="1"/><col min="22" max="22" width="19.33203125" bestFit="1" customWidth="1"/><col min="23" max="23" width="16" customWidth="1"/></cols><sheetData><row r="1" spans="1:23" s="8" customFormat="1" ht="15" customHeight="1" x14ac:dyDescent="0.3"><c r="A1" s="7" t="s"><v>50</v></c><c r="B1" s="112"/><c r="C1" s="120"/><c r="D1" s="120"/><c r="E1" s="112"/><c r="F1" s="120"/><c r="G1" s="120"/><c r="H1" s="112"/><c r="I1" s="112"/><c r="J1" s="120"/><c r="K1" s="120"/><c r="L1" s="112"/><c r="M1" s="112"/><c r="N1" s="112"/><c r="O1" s="112"/><c r="P1" s="112"/><c r="Q1" s="112"/><c r="R1" s="121"/><c r="S1" s="120"/><c r="T1" s="120"/><c r="U1" s="7"/><c r="V1" s="7"/><c r="W1" s="114"/></row><row r="2" spans="1:23" s="8" customFormat="1" ht="15" customHeight="1" x14ac:dyDescent="0.3"><c r="A2" s="7" t="s"><v>51</v></c><c r="B2" s="112"/><c r="C2" s="120"/><c r="D2" s="120"/><c r="E2" s="112"/><c r="F2" s="120"/><c r="G2" s="128"/><c r="H2" s="112"/><c r="I2" s="112"/><c r="J2" s="120"/><c r="K2" s="120"/><c r="L2" s="112"/><c r="M2" s="112"/><c r="N2" s="112"/><c r="O2" s="112"/><c r="P2" s="112"/><c r="Q2" s="112"/><c r="R2" s="121"/><c r="S2" s="120"/><c r="T2" s="120"/><c r="U2" s="7"/><c r="V2" s="7"/><c r="W2" s="114"/></row><row r="3" spans="1:23" s="45" customFormat="1" ht="15.75" customHeight="1" x14ac:dyDescent="0.3"><c r="A3" s="122" t="s"><v>35</v></c><c r="B3" s="120"/><c r="C3" s="120"/><c r="D3" s="120"/><c r="E3" s="120"/><c r="F3" s="120"/><c r="G3" s="120"/><c r="H3" s="120"/><c r="I3" s="120"/><c r="J3" s="120"/><c r="K3" s="120"/><c r="L3" s="120"/><c r="M3" s="120"/><c r="N3" s="120"/><c r="O3" s="120"/><c r="P3" s="120"/><c r="Q3" s="120"/><c r="R3" s="120"/><c r="S3" s="120"/><c r="T3" s="120"/><c r="U3" s="110"/><c r="V3" s="163"/><c r="W3" s="116"/></row><row r="4" spans="1:23" s="45" customFormat="1" ht="15.75" customHeight="1" x14ac:dyDescent="0.3"><c r="A4" s="122" t="s"><v>52</v></c><c r="B4" s="120"/><c r="C4" s="120"/><c r="D4" s="120"/><c r="E4" s="120"/><c r="F4" s="120"/><c r="G4" s="120"/><c r="H4" s="120"/><c r="I4" s="120"/><c r="J4" s="120"/><c r="K4" s="120"/><c r="L4" s="120"/><c r="M4" s="120"/><c r="N4" s="120"/><c r="O4" s="120"/><c r="P4" s="120"/><c r="Q4" s="120"/><c r="R4" s="120"/><c r="S4" s="120"/><c r="T4" s="120"/><c r="U4" s="110"/><c r="V4" s="163"/><c r="W4" s="116"/></row><row r="5" spans="1:23" s="45" customFormat="1" ht="15.75" customHeight="1" x14ac:dyDescent="0.3"><c r="A5" s="122" t="s"><v>0</v></c><c r="B5" s="129"/><c r="C5" s="129"/><c r="D5" s="129"/><c r="E5" s="129"/><c r="F5" s="129"/><c r="G5" s="129"/><c r="H5" s="129"/><c r="I5" s="129"/><c r="J5" s="129"/><c r="K5" s="129"/><c r="L5" s="129"/><c r="M5" s="129"/><c r="N5" s="129"/><c r="O5" s="129"/><c r="P5" s="129"/><c r="Q5" s="129"/><c r="R5" s="120"/><c r="S5" s="120"/><c r="T5" s="120"/><c r="U5" s="111"/><c r="V5" s="111"/><c r="W5" s="111"/></row><row r="6" spans="1:23" s="45" customFormat="1" x14ac:dyDescent="0.3"><c r="A6" s="122" t="s"><v>1</v></c><c r="B6" s="120"/><c r="C6" s="120"/><c r="D6" s="120"/><c r="E6" s="120"/><c r="F6" s="120"/><c r="G6" s="120"/><c r="H6" s="120"/><c r="I6" s="120"/><c r="J6" s="120"/><c r="K6" s="120"/><c r="L6" s="120"/><c r="M6" s="111"/><c r="N6" s="111"/><c r="O6" s="111"/><c r="P6" s="111"/><c r="Q6" s="111"/><c r="R6" s="120"/><c r="S6" s="120"/><c r="T6" s="120"/><c r="U6" s="111"/><c r="V6" s="111"/><c r="W6" s="111"/></row><row r="7" spans="1:23" s="45" customFormat="1" ht="72" x14ac:dyDescent="0.3"><c r="A7" s="122" t="s"><v>2</v></c><c r="B7" s="164"/><c r="C7" s="164"/><c r="D7" s="164"/><c r="E7" s="164"/><c r="F7" s="164"/><c r="G7" s="164"/><c r="H7" s="164"/><c r="I7" s="164"/><c r="J7" s="164"/><c r="K7" s="164"/><c r="L7" s="164"/><c r="M7" s="164"/><c r="N7" s="164"/><c r="O7" s="164"/><c r="P7" s="164"/><c r="Q7" s="164"/><c r="R7" s="156"/><c r="S7" s="156"/><c r="T7" s="156"/><c r="U7" s="157"/><c r="V7" s="157"/><c r="W7" s="157"/></row><row r="8" spans="1:23" s="45" customFormat="1" ht="15.75" customHeight="1" x14ac:dyDescent="0.3"><c r="A8" s="112"/><c r="B8" s="157"/><c r="C8" s="111"/><c r="D8" s="157"/><c r="E8" s="111"/><c r="F8" s="110"/><c r="G8" s="111"/><c r="H8" s="157"/><c r="I8" s="111"/><c r="J8" s="157"/><c r="K8" s="111"/><c r="L8" s="110"/><c r="M8" s="111"/><c r="N8" s="110"/><c r="O8" s="111"/><c r="P8" s="158"/><c r="Q8" s="111"/><c r="R8" s="158"/><c r="S8" s="111"/><c r="T8" s="158"/><c r="U8" s="111"/><c r="V8" s="110"/><c r="W8" s="111"/></row><row r="9" spans="1:23" s="161" customFormat="1" ht="15.75" customHeight="1" x14ac:dyDescent="0.3"><c r="A9" s="113" t="s"><v>3</v></c><c r="B9" s="165"/><c r="C9" s="165"/><c r="D9" s="165"/><c r="E9" s="157"/><c r="F9" s="110"/><c r="G9" s="157"/><c r="H9" s="110"/><c r="I9" s="157"/><c r="J9" s="110"/><c r="K9" s="157"/><c r="L9" s="110"/><c r="M9" s="157"/><c r="N9" s="110"/><c r="O9" s="157"/><c r="P9" s="158"/><c r="Q9" s="157"/><c r="R9" s="158"/><c r="S9" s="159"/><c r="T9" s="159"/><c r="U9" s="157"/><c r="V9" s="110"/><c r="W9" s="157"/></row><row r="10" spans="1:23" s="161" customFormat="1" ht="15.75" customHeight="1" x14ac:dyDescent="0.3"><c r="A10" s="113" t="s"><v>54</v></c><c r="B10" s="165"/><c r="C10" s="165"/><c r="D10" s="165"/><c r="E10" s="157"/><c r="F10" s="110"/><c r="G10" s="157"/><c r="H10" s="110"/><c r="I10" s="157"/><c r="J10" s="110"/><c r="K10" s="157"/><c r="L10" s="110"/><c r="M10" s="157"/><c r="N10" s="110"/><c r="O10" s="157"/><c r="P10" s="158"/><c r="Q10" s="157"/><c r="R10" s="158"/><c r="S10" s="159"/><c r="T10" s="159"/><c r="U10" s="157"/><c r="V10" s="110"/><c r="W10" s="157"/></row><row r="11" spans="1:23" s="161" customFormat="1" ht="15.75" customHeight="1" x14ac:dyDescent="0.3"><c r="A11" s="113" t="s"><v>4</v></c><c r="B11" s="165"/><c r="C11" s="165"/><c r="D11" s="165"/><c r="E11" s="157"/><c r="F11" s="110"/><c r="G11" s="157"/><c r="H11" s="110"/><c r="I11" s="157"/><c r="J11" s="110"/><c r="K11" s="157"/><c r="L11" s="110"/><c r="M11" s="157"/><c r="N11" s="110"/><c r="O11" s="157"/><c r="P11" s="158"/><c r="Q11" s="157"/><c r="R11" s="158"/><c r="S11" s="159"/><c r="T11" s="159"/><c r="U11" s="157"/><c r="V11" s="110"/><c r="W11" s="157"/></row><row r="12" spans="1:23" s="161" customFormat="1" ht="15.75" customHeight="1" x14ac:dyDescent="0.3"><c r="A12" s="113" t="s"><v>5</v></c><c r="B12" s="165"/><c r="C12" s="165"/><c r="D12" s="165"/><c r="E12" s="157"/><c r="F12" s="110"/><c r="G12" s="157"/><c r="H12" s="110"/><c r="I12" s="157"/><c r="J12" s="110"/><c r="K12" s="157"/><c r="L12" s="110"/><c r="M12" s="157"/><c r="N12" s="110"/><c r="O12" s="157"/><c r="P12" s="158"/><c r="Q12" s="157"/><c r="R12" s="158"/><c r="S12" s="159"/><c r="T12" s="159"/><c r="U12" s="157"/><c r="V12" s="110"/><c r="W12" s="157"/></row><row r="13" spans="1:23" s="161" customFormat="1" ht="15.75" customHeight="1" x14ac:dyDescent="0.3"><c r="A13" s="113" t="s"><v>6</v></c><c r="B13" s="165"/><c r="C13" s="165"/><c r="D13" s="165"/><c r="E13" s="157"/><c r="F13" s="110"/><c r="G13" s="157"/><c r="H13" s="110"/><c r="I13" s="157"/><c r="J13" s="110"/><c r="K13" s="157"/><c r="L13" s="110"/><c r="M13" s="157"/><c r="N13" s="110"/><c r="O13" s="157"/><c r="P13" s="158"/><c r="Q13" s="157"/><c r="R13" s="158"/><c r="S13" s="159"/><c r="T13" s="159"/><c r="U13" s="157"/><c r="V13" s="110"/><c r="W13" s="157"/></row><row r="14" spans="1:23" s="161" customFormat="1" ht="15.75" customHeight="1" x14ac:dyDescent="0.3"><c r="A14" s="113" t="s"><v>7</v></c><c r="B14" s="165"/><c r="C14" s="165"/><c r="D14" s="165"/><c r="E14" s="157"/><c r="F14" s="110"/><c r="G14" s="157"/><c r="H14" s="110"/><c r="I14" s="157"/><c r="J14" s="110"/><c r="K14" s="157"/><c r="L14" s="110"/><c r="M14" s="157"/><c r="N14" s="110"/><c r="O14" s="157"/><c r="P14" s="158"/><c r="Q14" s="157"/><c r="R14" s="158"/><c r="S14" s="159"/><c r="T14" s="159"/><c r="U14" s="157"/><c r="V14" s="110"/><c r="W14" s="157"/></row><row r="15" spans="1:23" s="161" customFormat="1" ht="15.75" customHeight="1" x14ac:dyDescent="0.3"><c r="A15" s="113" t="s"><v>8</v></c><c r="B15" s="165"/><c r="C15" s="165"/><c r="D15" s="165"/><c r="E15" s="157"/><c r="F15" s="110"/><c r="G15" s="157"/><c r="H15" s="110"/><c r="I15" s="157"/><c r="J15" s="110"/><c r="K15" s="157"/><c r="L15" s="110"/><c r="M15" s="157"/><c r="N15" s="110"/><c r="O15" s="157"/><c r="P15" s="158"/><c r="Q15" s="157"/><c r="R15" s="158"/><c r="S15" s="159"/><c r="T15" s="159"/><c r="U15" s="157"/><c r="V15" s="110"/><c r="W15" s="157"/></row><row r="16" spans="1:23" s="161" customFormat="1" x14ac:dyDescent="0.3"><c r="A16" s="113" t="s"><v>9</v></c><c r="B16" s="165"/><c r="C16" s="165"/><c r="D16" s="165"/><c r="E16" s="157"/><c r="F16" s="110"/><c r="G16" s="157"/><c r="H16" s="110"/><c r="I16" s="160"/><c r="J16" s="110"/><c r="K16" s="160"/><c r="L16" s="110"/><c r="M16" s="157"/><c r="N16" s="110"/><c r="O16" s="157"/><c r="P16" s="158"/><c r="Q16" s="157"/><c r="R16" s="158"/><c r="S16" s="159"/><c r="T16" s="159"/><c r="U16" s="157"/><c r="V16" s="110"/><c r="W16" s="157"/></row><row r="17" spans="1:23" s="161" customFormat="1" x14ac:dyDescent="0.3"><c r="A17" s="113" t="s"><v>10</v></c><c r="B17" s="165"/><c r="C17" s="165"/><c r="D17" s="165"/><c r="E17" s="157"/><c r="F17" s="110"/><c r="G17" s="157"/><c r="H17" s="110"/><c r="I17" s="160"/><c r="J17" s="110"/><c r="K17" s="157"/><c r="L17" s="110"/><c r="M17" s="157"/><c r="N17" s="110"/><c r="O17" s="157"/><c r="P17" s="158"/><c r="Q17" s="157"/><c r="R17" s="158"/><c r="S17" s="159"/><c r="T17" s="159"/><c r="U17" s="157"/><c r="V17" s="110"/><c r="W17" s="157"/></row><row r="18" spans="1:23" s="161" customFormat="1" x14ac:dyDescent="0.3"><c r="A18" s="113" t="s"><v>11</v></c><c r="B18" s="110"><f>SUM(B9:B17)</f><v>0</v></c><c r="C18" s="110"><f t="shared" ref="C18:O18" si="0">SUM(C9:C17)</f><v>0</v></c><c r="D18" s="110"><f t="shared" si="0"/><v>0</v></c><c r="E18" s="110"><f t="shared" si="0"/><v>0</v></c><c r="F18" s="110"><f t="shared" si="0"/><v>0</v></c><c r="G18" s="110"><f t="shared" si="0"/><v>0</v></c><c r="H18" s="110"><f t="shared" si="0"/><v>0</v></c><c r="I18" s="110"><f t="shared" si="0"/><v>0</v></c><c r="J18" s="110"><f t="shared" si="0"/><v>0</v></c><c r="K18" s="110"><f t="shared" si="0"/><v>0</v></c><c r="L18" s="110"><f t="shared" si="0"/><v>0</v></c><c r="M18" s="110"><f t="shared" si="0"/><v>0</v></c><c r="N18" s="110"><f t="shared" si="0"/><v>0</v></c><c r="O18" s="110"><f t="shared" si="0"/><v>0</v></c><c r="P18" s="110"><f t="shared" ref="P18" si="1">SUM(P9:P17)</f><v>0</v></c><c r="Q18" s="110"><f>SUM(Q9:Q17)</f><v>0</v></c><c r="R18" s="110"><f>SUM(R9:R17)</f><v>0</v></c><c r="S18" s="116"><f>SUM(S9:S17)</f><v>0</v></c><c r="T18" s="116"><f>SUM(T9:T17)</f><v>0</v></c><c r="U18" s="110"><f t="shared" ref="U18:W18" si="2">SUM(U9:U17)</f><v>0</v></c><c r="V18" s="110"><f t="shared" si="2"/><v>0</v></c><c r="W18" s="110"><f t="shared" si="2"/><v>0</v></c></row><row r="19" spans="1:23" s="161" customFormat="1" x14ac:dyDescent="0.3"><c r="A19" s="113"/><c r="B19" s="110"/><c r="C19" s="110"/><c r="D19" s="110"/><c r="E19" s="110"/><c r="F19" s="157"/><c r="G19" s="110"/><c r="H19" s="110"/><c r="I19" s="110"/><c r="J19" s="110"/><c r="K19" s="110"/><c r="L19" s="110"/><c r="M19" s="110"/><c r="N19" s="110"/><c r="O19" s="110"/><c r="P19" s="110"/><c r="Q19" s="110"/><c r="R19" s="110"/><c r="S19" s="116"/><c r="T19" s="116"/><c r="U19" s="110"/><c r="V19" s="110"/><c r="W19" s="110"/></row><row r="20" spans="1:23" s="162" customFormat="1" x14ac:dyDescent="0.3"><c r="A20" s="113" t="s"><v>12</v></c><c r="B20" s="110" t="e"><f t="shared" ref="B20:O20" si="3">B18-B7</f><v>#VALUE!</v></c><c r="C20" s="110"><f t="shared" si="3"/><v>0</v></c><c r="D20" s="110"><f t="shared" si="3"/><v>0</v></c><c r="E20" s="110"><f t="shared" si="3"/><v>0</v></c><c r="F20" s="110"><f t="shared" si="3"/><v>0</v></c><c r="G20" s="110"><f t="shared" si="3"/><v>0</v></c><c r="H20" s="110"><f t="shared" si="3"/><v>0</v></c><c r="I20" s="110"><f t="shared" si="3"/><v>0</v></c><c r="J20" s="110"><f t="shared" si="3"/><v>0</v></c><c r="K20" s="110"><f t="shared" si="3"/><v>0</v></c><c r="L20" s="110"><f t="shared" si="3"/><v>0</v></c><c r="M20" s="110"><f t="shared" si="3"/><v>0</v></c><c r="N20" s="110"><f t="shared" si="3"/><v>0</v></c><c r="O20" s="110"><f t="shared" si="3"/><v>0</v></c><c r="P20" s="110"><f t="shared" ref="P20" si="4">P18-P7</f><v>0</v></c><c r="Q20" s="110"><f>Q18-Q7</f><v>0</v></c><c r="R20" s="110"><f>R18-R7</f><v>0</v></c><c r="S20" s="110"><f>S18-S7</f><v>0</v></c><c r="T20" s="110"><f>T18-T7</f><v>0</v></c><c r="U20" s="110"><f t="shared" ref="U20:W20" si="5">U18-U7</f><v>0</v></c><c r="V20" s="110"><f t="shared" si="5"/><v>0</v></c><c r="W20" s="110"><f t="shared" si="5"/><v>0</v></c></row><row r="21" spans="1:23" x14ac:dyDescent="0.3"><c r="A21" s="1"/><c r="B21" s="9"/><c r="C21" s="10"/><c r="D21" s="9"/><c r="E21" s="10"/><c r="F21" s="11"/><c r="G21" s="10"/><c r="H21" s="11"/><c r="I21" s="9"/><c r="J21" s="9"/><c r="K21" s="10"/><c r="L21" s="12"/><c r="M21" s="12"/><c r="N21" s="10"/><c r="O21" s="9"/><c r="P21" s="9"/><c r="Q21" s="10"/><c r="R21" s="12"/><c r="S21" s="12"/><c r="T21" s="9"/><c r="U21" s="9"/><c r="V21" s="9"/><c r="W21" s="9"/></row><row r="22" spans="1:23" s="1" customFormat="1" ht="18" thickBot="1" x14ac:dyDescent="0.35"><c r="D22" s="2"/><c r="M22" s="198" t="s"><v>48</v></c><c r="N22" s="198"/><c r="O22" s="198"/><c r="P22" s="198"/><c r="Q22" s="198"/><c r="R22" s="198"/><c r="S22" s="198"/><c r="T22" s="198"/><c r="U22" s="198"/></row><row r="23" spans="1:23" ht="16.2" thickBot="1" x14ac:dyDescent="0.35"><c r="D23" s="6"/><c r="J23"/><c r="L23"/><c r="M23" s="14" t="s"><v>13</v></c><c r="N23" s="207"/><c r="O23" s="208"/><c r="P23" s="208"/><c r="Q23" s="208"/><c r="R23" s="208"/><c r="S23" s="209"/><c r="T23" s="119" t="s"><v>38</v></c><c r="U23" s="106"/><c r="W23" s="91" t="s"><v>44</v></c></row><row r="24" spans="1:23" ht="16.2" thickBot="1" x14ac:dyDescent="0.35"><c r="B24" s="2"/><c r="C24" s="18"/><c r="J24"/><c r="K24" s="15"/><c r="L24"/><c r="M24" s="16"/><c r="N24" s="210" t="s"><v>49</v></c><c r="O24" s="211"/><c r="P24" s="211"/><c r="Q24" s="211"/><c r="R24" s="211"/><c r="S24" s="212"/><c r="T24" s="108" t="s"><v>11</v></c><c r="U24" s="107"/><c r="W24" s="118"/></row><row r="25" spans="1:23" x14ac:dyDescent="0.3"><c r="B25" s="2"/><c r="C25" s="103"/><c r="D25" s="3" t="s"><v>15</v></c><c r="E25" s="4"/><c r="J25"/><c r="L25"/><c r="M25" s="215" t="s"><v>16</v></c><c r="N25" s="216"/><c r="O25" s="148"/><c r="P25" s="149"/><c r="Q25" s="145"/><c r="R25" s="146"/><c r="S25" s="147"/><c r="T25" s="213" t="s"><v>17</v></c><c r="U25" s="214"/><c r="V25" s="13"/><c r="W25" s="82" t="s"><v>45</v></c></row><row r="26" spans="1:23" x14ac:dyDescent="0.3"><c r="E26" s="4"/><c r="J26"/><c r="L26"/><c r="M26" s="79" t="s"><v>53</v></c><c r="N26" s="80"/><c r="O26" s="126"/><c r="P26" s="127"/><c r="Q26" s="188"/><c r="R26" s="189"/><c r="S26" s="190"/><c r="T26" s="124"/><c r="U26" s="125"/><c r="V26" s="13"/><c r="W26" s="82"/></row><row r="27" spans="1:23" x14ac:dyDescent="0.3"><c r="I27" s="109" t="str"><f>B1</f></c><c r="J27" s="136" t="str"><f>B9</f></c><c r="L27"/><c r="M27" s="79" t="s"><v>18</v></c><c r="N27" s="80"/><c r="O27" s="186"/><c r="P27" s="187"/><c r="Q27" s="188"/><c r="R27" s="189"/><c r="S27" s="190"/><c r="T27" s="205" t="s"><v>19</v></c><c r="U27" s="206"/><c r="V27" s="19"/><c r="W27" s="92"/></row><row r="28" spans="1:23" x14ac:dyDescent="0.3"><c r="I28" s="109"><f>C1</f><v>0</v></c><c r="J28" s="136"><f>C9</f><v>0</v></c><c r="L28"/><c r="M28" s="203" t="s"><v>20</v></c><c r="N28" s="204"/><c r="O28" s="186"/><c r="P28" s="187"/><c r="Q28" s="188"/><c r="R28" s="189"/><c r="S28" s="190"/><c r="T28" s="201" t="s"><v>39</v></c><c r="U28" s="202"/><c r="V28" s="21"/><c r="W28" s="13"/></row><row r="29" spans="1:23" x14ac:dyDescent="0.3"><c r="I29" s="109"><f>D1</f><v>0</v></c><c r="J29" s="136"><f>D9</f><v>0</v></c><c r="K29" s="24"/><c r="L29"/><c r="M29" s="203" t="s"><v>21</v></c><c r="N29" s="204"/><c r="O29" s="186"/><c r="P29" s="187"/><c r="Q29" s="188"/><c r="R29" s="189"/><c r="S29" s="190"/><c r="T29" s="199" t="s"><v>40</v></c><c r="U29" s="200"/><c r="W29" s="93" t="str"><f>U23</f></c></row><row r="30" spans="1:23" x14ac:dyDescent="0.3"><c r="A30" s="1"/><c r="I30" s="109"><f>E1</f><v>0</v></c><c r="J30" s="136"><f>E9</f><v>0</v></c><c r="L30"/><c r="M30" s="203" t="s"><v>22</v></c><c r="N30" s="204"/><c r="O30" s="186"/><c r="P30" s="217"/><c r="Q30" s="188"/><c r="R30" s="189"/><c r="S30" s="190"/><c r="T30" s="218" t="s"><v>41</v></c><c r="U30" s="219"/><c r="V30" s="24"/><c r="W30" s="21" t="str"><f>Q34</f></c></row><row r="31" spans="1:23" x14ac:dyDescent="0.3"><c r="A31" s="1"/><c r="I31" s="109"><f>F1</f><v>0</v></c><c r="J31" s="136"><f>F9</f><v>0</v></c><c r="L31"/><c r="M31" s="203" t="s"><v>23</v></c><c r="N31" s="204"/><c r="O31" s="186"/><c r="P31" s="187"/><c r="Q31" s="188"/><c r="R31" s="189"/><c r="S31" s="190"/><c r="T31" s="28"/><c r="U31" s="26"/></row><row r="32" spans="1:23" x14ac:dyDescent="0.3"><c r="A32" s="1"/><c r="I32" s="109"><f>G1</f><v>0</v></c><c r="J32" s="136"><f>G9</f><v>0</v></c><c r="L32"/><c r="M32" s="203" t="s"><v>24</v></c><c r="N32" s="204"/><c r="O32" s="186"/><c r="P32" s="187"/><c r="Q32" s="188"/><c r="R32" s="189"/><c r="S32" s="190"/><c r="T32" s="28"/><c r="U32" s="26"/><c r="W32" s="82" t="s"><v>46</v></c></row><row r="33" spans="1:23" x14ac:dyDescent="0.3"><c r="A33" s="1"/><c r="I33" s="109"><f>H1</f><v>0</v></c><c r="J33" s="136"><f>H9</f><v>0</v></c><c r="L33"/><c r="M33" s="79" t="s"><v>25</v></c><c r="N33" s="81"/><c r="O33" s="186"/><c r="P33" s="187"/><c r="Q33" s="188"/><c r="R33" s="189"/><c r="S33" s="190"/><c r="T33" s="28"/><c r="U33" s="26"/><c r="W33" s="117" t="e"><f>W30-W27</f><v>#VALUE!</v></c></row><row r="34" spans="1:23" ht="15" thickBot="1" x14ac:dyDescent="0.35"><c r="A34" s="1"/><c r="I34" s="109"><f>I1</f><v>0</v></c><c r="J34" s="136"><f>I9</f><v>0</v></c><c r="L34" s="8"/><c r="M34" s="191" t="s"><v>26</v></c><c r="N34" s="192"/><c r="O34" s="193"/><c r="P34" s="194"/><c r="Q34" s="188"/><c r="R34" s="189"/><c r="S34" s="190"/><c r="T34" s="30"/><c r="U34" s="29"/><c r="V34" s="1"/><c r="W34" s="24"/></row><row r="35" spans="1:23" ht="15" thickBot="1" x14ac:dyDescent="0.35"><c r="A35" s="1"/><c r="D35" s="31"/><c r="I35" s="41"><f>J1</f><v>0</v></c><c r="J35" s="27"><f>J9</f><v>0</v></c><c r="L35"/><c r="M35" s="195" t="s"><v>27</v></c><c r="N35" s="196"/><c r="O35" s="197"/><c r="P35" s="167" t="s"><v>28</v></c><c r="Q35" s="169"/><c r="R35" s="167" t="s"><v>29</v></c><c r="S35" s="169"/><c r="T35" s="167" t="s"><v>30</v></c><c r="U35" s="169"/><c r="V35" s="1"/><c r="W35" s="1"/></row><row r="36" spans="1:23" ht="15" thickBot="1" x14ac:dyDescent="0.35"><c r="B36" s="9"/><c r="I36" s="41"><f>K1</f><v>0</v></c><c r="J36" s="27"><f>K9</f><v>0</v></c><c r="L36"/><c r="M36" s="33" t="s"><v>13</v></c><c r="N36" s="34" t="s"><v>31</v></c><c r="O36" s="35" t="s"><v>32</v></c><c r="P36" s="36" t="s"><v>33</v></c><c r="Q36" s="35" t="s"><v>32</v></c><c r="R36" s="36" t="s"><v>33</v></c><c r="S36" s="35" t="s"><v>32</v></c><c r="T36" s="36" t="s"><v>33</v></c><c r="U36" s="35" t="s"><v>32</v></c><c r="V36" s="1"/><c r="W36" s="1"/></row><row r="37" spans="1:23" ht="15" thickBot="1" x14ac:dyDescent="0.35"><c r="A37" s="1"/><c r="I37" s="41"><f>L$1</f><v>0</v></c><c r="J37" s="27"><f>L9</f><v>0</v></c><c r="K37" s="24"/><c r="L37"/><c r="M37" s="37" t="inlineStr"><is><t xml:space="preserve">30-06-2026</t></is></c><c r="N37" s="38" t="inlineStr"><is><t xml:space="preserve">BCI</t></is></c><c r="O37" s="39"><v>50</v></c><c r="P37" s="151"/><c r="Q37" s="77"/><c r="R37" s="153"/><c r="S37" s="78"/><c r="T37" s="152"/><c r="U37" s="74"/><c r="V37" s="1"/><c r="W37" s="18" t="s"><v>14</v></c></row><row r="38"  x14ac:dyDescent="0.3" spans="1:23" x14ac:dyDescent="0.3"><c r="A38" s="1"/><c r="I38" s="41"><f>L$1</f><v>0</v></c><c r="J38" s="27"><f>L9</f><v>0</v></c><c r="K38" s="24"/><c r="L38"/><c r="M38" s="37" t="inlineStr"><is><t xml:space="preserve">29-06-2026</t></is></c><c r="N38" s="38" t="inlineStr"><is><t xml:space="preserve">BCI2</t></is></c><c r="O38" s="39"><v>60</v></c><c r="P38" s="42"/><c r="Q38" s="72"/><c r="R38" s="44"/><c r="S38" s="77"/><c r="T38" s="42"/><c r="U38" s="72"/><c r="V38" s="1"/><c r="W38" s="18" t="s"><v>14</v></c></row><row r="39" spans="1:23" ht="15" thickBot="1" x14ac:dyDescent="0.35"><c r="B39" s="20"/><c r="C39" s="32"/><c r="I39" s="41"><f t="shared" ref="I39:I39" si="6">L$1</f><v>0</v></c><c r="J39" s="27"><f t="shared" ref="J39:J39" si="7">L10</f><v>0</v></c><c r="L39" s="105"/><c r="M39" s="171" t="s"><v>42</v></c><c r="N39" s="179"/><c r="O39" s="150"/><c r="P39" s="152"/><c r="Q39" s="75"/><c r="R39" s="154"/><c r="S39" s="73"/><c r="T39" s="152"/><c r="U39" s="76"/><c r="V39" s="1"/><c r="W39" s="1"/></row><row r="40" spans="1:23" x14ac:dyDescent="0.3"><c r="O40" s="39"><v>100</v></c><c r="N40" s="38" t="inlineStr"><is><t xml:space="preserve">SANT</t></is></c><c r="M40" s="37" t="inlineStr"><is><t xml:space="preserve">15-07-2026</t></is></c><c r="B40" s="20"/><c r="C40" s="32"/><c r="I40" s="41"><f t="shared" si="6"/><v>0</v></c><c r="J40" s="27"><f t="shared" si="7"/><v>0</v></c><c r="K40" s="24"/><c r="L40" s="105"/><c r="M40" s="37"/><c r="N40" s="38"/><c r="O40" s="39"/><c r="P40" s="152"/><c r="Q40" s="68"/><c r="R40" s="154"/><c r="S40" s="73"/><c r="T40" s="152"/><c r="U40" s="68"/><c r="V40" s="1"/><c r="W40" s="1"/></row><row r="41" spans="1:23" ht="16.5" customHeight="1" x14ac:dyDescent="0.4"><c r="B41" s="20"/><c r="C41" s="32"/><c r="D41" s="44"/><c r="E41" s="43"/><c r="I41" s="41"><f t="shared" si="6"/><v>0</v></c><c r="J41" s="27"><f t="shared" si="7"/><v>0</v></c><c r="K41" s="24"/><c r="L41" s="105"/><c r="M41" s="37"/><c r="N41" s="38"/><c r="O41" s="39"/><c r="P41" s="152"/><c r="Q41" s="66"/><c r="R41" s="154"/><c r="S41" s="74"/><c r="T41" s="152"/><c r="U41" s="68"/><c r="V41" s="1"/><c r="W41" s="1"/></row><row r="42" spans="1:23" ht="15" customHeight="1" x14ac:dyDescent="0.3"><c r="B42" s="20"/><c r="C42" s="32"/><c r="D42" s="23"/><c r="E42" s="23"/><c r="I42" s="41"><f t="shared" si="6"/><v>0</v></c><c r="J42" s="27"><f t="shared" si="7"/><v>0</v></c><c r="K42" s="24"/><c r="L42" s="105"/><c r="M42" s="37"/><c r="N42" s="38"/><c r="O42" s="39"/><c r="P42" s="152"/><c r="Q42" s="66"/><c r="R42" s="154"/><c r="S42" s="74"/><c r="T42" s="152"/><c r="U42" s="68"/><c r="V42" s="1"/><c r="W42" s="1"/></row><row r="43" spans="1:23" ht="15" customHeight="1" x14ac:dyDescent="0.6"><c r="B43" s="20"/><c r="C43" s="25"/><c r="D43" s="23"/><c r="E43" s="23"/><c r="F43" s="47"/><c r="I43" s="41"><f t="shared" si="6"/><v>0</v></c><c r="J43" s="27"><f t="shared" si="7"/><v>0</v></c><c r="L43" s="105"/><c r="M43" s="37"/><c r="N43" s="38"/><c r="O43" s="39"/><c r="P43" s="152"/><c r="Q43" s="66"/><c r="R43" s="154"/><c r="S43" s="73"/><c r="T43" s="152"/><c r="U43" s="68"/><c r="V43" s="1"/><c r="W43" s="1"/></row><row r="44" spans="1:23" ht="15.75" customHeight="1" x14ac:dyDescent="0.6"><c r="A44" s="104"/><c r="B44" s="20"/><c r="C44" s="32"/><c r="D44" s="170"/><c r="E44" s="170"/><c r="F44" s="47"/><c r="G44" s="8"/><c r="I44" s="41"><f t="shared" si="6"/><v>0</v></c><c r="J44" s="27"><f t="shared" si="7"/><v>0</v></c><c r="K44" s="24"/><c r="L44" s="105"/><c r="M44" s="37"/><c r="N44" s="38"/><c r="O44" s="39"/><c r="P44" s="152"/><c r="Q44" s="66"/><c r="R44" s="152"/><c r="S44" s="67"/><c r="T44" s="152"/><c r="U44" s="68"/></row><row r="45" spans="1:23" ht="15" customHeight="1" x14ac:dyDescent="0.3"><c r="A45" s="25"/><c r="B45" s="20"/><c r="C45" s="25"/><c r="D45" s="170"/><c r="E45" s="170"/><c r="F45" s="48"/><c r="H45" s="64"/><c r="I45" s="41"><f t="shared" si="6"/><v>0</v></c><c r="J45" s="27"><f t="shared" si="7"/><v>0</v></c><c r="K45" s="24"/><c r="L45" s="105"/><c r="M45" s="37"/><c r="N45" s="38"/><c r="O45" s="39"/><c r="P45" s="152"/><c r="Q45" s="66"/><c r="R45" s="152"/><c r="S45" s="67"/><c r="T45" s="152"/><c r="U45" s="68"/></row><row r="46" spans="1:23" x14ac:dyDescent="0.3"><c r="A46" s="25"/><c r="B46" s="25"/><c r="C46" s="40"/><c r="D46" s="170"/><c r="E46" s="170"/><c r="F46" s="23"/><c r="H46" s="64"/><c r="I46" s="41"><f t="shared" si="6"/><v>0</v></c><c r="J46" s="27"><f t="shared" si="7"/><v>0</v></c><c r="L46" s="105"/><c r="M46" s="37"/><c r="N46" s="38"/><c r="O46" s="39"/><c r="P46" s="152"/><c r="Q46" s="66"/><c r="R46" s="152"/><c r="S46" s="72"/><c r="T46" s="152"/><c r="U46" s="68"/></row><row r="47" spans="1:23" x14ac:dyDescent="0.3"><c r="A47" s="20"/><c r="B47" s="20"/><c r="C47" s="40"/><c r="D47" s="170"/><c r="E47" s="170"/><c r="F47" s="49"/><c r="H47" s="64"/><c r="I47" s="13"/><c r="J47" s="53"><f>SUM(J28:J46)</f><v>0</v></c><c r="L47" s="105"/><c r="M47" s="37"/><c r="N47" s="38"/><c r="O47" s="39"/><c r="P47" s="152"/><c r="Q47" s="66"/><c r="R47" s="152"/><c r="S47" s="67"/><c r="T47" s="152"/><c r="U47" s="68"/></row><row r="48" spans="1:23" x14ac:dyDescent="0.3"><c r="A48" s="20"/><c r="B48" s="20"/><c r="C48" s="40"/><c r="D48" s="170"/><c r="E48" s="170"/><c r="F48" s="17"/><c r="G48" s="1"/><c r="H48" s="64"/><c r="I48" s="13"/><c r="J48" s="53"/><c r="K48" s="24"/><c r="L48" s="105"/><c r="M48" s="37"/><c r="N48" s="38"/><c r="O48" s="39"/><c r="P48" s="152"/><c r="Q48" s="66"/><c r="R48" s="152"/><c r="S48" s="67"/><c r="T48" s="152"/><c r="U48" s="68"/></row><row r="49" spans="1:23" x14ac:dyDescent="0.3"><c r="A49" s="20"/><c r="B49" s="20"/><c r="C49" s="40"/><c r="D49" s="170"/><c r="E49" s="170"/><c r="F49" s="23"/><c r="G49" s="1"/><c r="H49" s="64"/><c r="I49" s="13"/><c r="J49" s="53"/><c r="L49" s="105"/><c r="M49" s="37"/><c r="N49" s="38"/><c r="O49" s="39"/><c r="P49" s="152"/><c r="Q49" s="66"/><c r="R49" s="152"/><c r="S49" s="67"/><c r="T49" s="154"/><c r="U49" s="68"/></row><row r="50" spans="1:21" x14ac:dyDescent="0.3"><c r="A50" s="20"/><c r="B50" s="20"/><c r="C50" s="40"/><c r="D50" s="170"/><c r="E50" s="170"/><c r="F50" s="23"/><c r="G50" s="1"/><c r="H50" s="46"/><c r="I50" s="13"/><c r="J50" s="53"/><c r="L50" s="105"/><c r="M50" s="37"/><c r="N50" s="38"/><c r="O50" s="39"/><c r="P50" s="152"/><c r="Q50" s="66"/><c r="R50" s="152"/><c r="S50" s="67"/><c r="T50" s="154"/><c r="U50" s="68"/></row><row r="51" spans="1:21" x14ac:dyDescent="0.3"><c r="A51" s="20"/><c r="B51" s="20"/><c r="C51" s="40"/><c r="D51" s="23"/><c r="E51" s="25"/><c r="F51" s="23"/><c r="G51" s="1"/><c r="H51" s="46"/><c r="I51" s="13"/><c r="J51" s="53"/><c r="L51" s="105"/><c r="M51" s="37"/><c r="N51" s="38"/><c r="O51" s="39"/><c r="P51" s="152"/><c r="Q51" s="66"/><c r="R51" s="152"/><c r="S51" s="67"/><c r="T51" s="154"/><c r="U51" s="68"/></row><row r="52" spans="1:21" x14ac:dyDescent="0.3"><c r="A52" s="20"/><c r="B52" s="20"/><c r="C52" s="40"/><c r="D52" s="185"/><c r="E52" s="185"/><c r="F52" s="23"/><c r="G52" s="1"/><c r="H52" s="46"/><c r="I52" s="13"/><c r="J52" s="53"/><c r="L52" s="105"/><c r="M52" s="37"/><c r="N52" s="38"/><c r="O52" s="39"/><c r="P52" s="151"/><c r="Q52" s="66"/><c r="R52" s="152"/><c r="S52" s="67"/><c r="T52" s="154"/><c r="U52" s="68"/></row><row r="53" spans="1:21" x14ac:dyDescent="0.3"><c r="A53" s="20"/><c r="B53" s="51"/><c r="C53" s="40"/><c r="D53" s="178"/><c r="E53" s="178"/><c r="F53" s="23"/><c r="G53" s="1"/><c r="H53" s="46"/><c r="I53" s="50"/><c r="J53" s="53"/><c r="L53" s="105"/><c r="M53" s="37"/><c r="N53" s="38"/><c r="O53" s="39"/><c r="P53" s="151"/><c r="Q53" s="66"/><c r="R53" s="152"/><c r="S53" s="67"/><c r="T53" s="154"/><c r="U53" s="68"/></row><row r="54" spans="1:21" x14ac:dyDescent="0.3"><c r="A54" s="25"/><c r="B54" s="51"/><c r="C54" s="40"/><c r="D54" s="166"/><c r="E54" s="166"/><c r="F54" s="23"/><c r="G54" s="1"/><c r="H54" s="46"/><c r="I54" s="50"/><c r="J54" s="53"/><c r="L54" s="18"/><c r="M54" s="37"/><c r="N54" s="38"/><c r="O54" s="39"/><c r="P54" s="152"/><c r="Q54" s="66"/><c r="R54" s="152"/><c r="S54" s="67"/><c r="T54" s="154"/><c r="U54" s="68"/></row><row r="55" spans="1:21" x14ac:dyDescent="0.3"><c r="A55" s="20"/><c r="B55" s="51"/><c r="C55" s="40"/><c r="D55" s="166"/><c r="E55" s="166"/><c r="F55" s="23"/><c r="G55" s="1"/><c r="H55" s="46"/><c r="I55" s="50"/><c r="J55" s="53"/><c r="L55" s="18"/><c r="M55" s="37"/><c r="N55" s="38"/><c r="O55" s="39"/><c r="P55" s="152"/><c r="Q55" s="66"/><c r="R55" s="152"/><c r="S55" s="67"/><c r="T55" s="154"/><c r="U55" s="68"/></row><row r="56" spans="1:21" x14ac:dyDescent="0.3"><c r="A56" s="20"/><c r="B56" s="51"/><c r="C56" s="40"/><c r="D56" s="22"/><c r="E56" s="22"/><c r="F56" s="23"/><c r="G56" s="1"/><c r="H56" s="46"/><c r="I56" s="50"/><c r="J56" s="53"/><c r="L56" s="18"/><c r="M56" s="37"/><c r="N56" s="38"/><c r="O56" s="39"/><c r="P56" s="152"/><c r="Q56" s="66"/><c r="R56" s="152"/><c r="S56" s="67"/><c r="T56" s="154"/><c r="U56" s="68"/></row><row r="57" spans="1:21" x14ac:dyDescent="0.3"><c r="A57" s="20"/><c r="B57"/><c r="C57" s="40"/><c r="D57" s="22"/><c r="E57" s="22"/><c r="F57" s="23"/><c r="G57" s="1"/><c r="H57" s="46"/><c r="I57" s="50"/><c r="J57" s="53"/><c r="L57" s="18"/><c r="M57" s="37"/><c r="N57" s="38"/><c r="O57" s="39"/><c r="P57" s="152"/><c r="Q57" s="66"/><c r="R57" s="152"/><c r="S57" s="67"/><c r="T57" s="154"/><c r="U57" s="68"/></row><row r="58" spans="1:21" x14ac:dyDescent="0.3"><c r="A58" s="20"/><c r="B58"/><c r="C58" s="40"/><c r="D58" s="22"/><c r="E58" s="22"/><c r="F58" s="23"/><c r="G58" s="1"/><c r="H58" s="46"/><c r="I58" s="50"/><c r="J58" s="53"/><c r="L58" s="18"/><c r="M58" s="37"/><c r="N58" s="38"/><c r="O58" s="39"/><c r="P58" s="152"/><c r="Q58" s="66"/><c r="R58" s="152"/><c r="S58" s="67"/><c r="T58" s="154"/><c r="U58" s="68"/></row><row r="59" spans="1:21" x14ac:dyDescent="0.3"><c r="A59" s="20"/><c r="B59"/><c r="C59" s="40"/><c r="D59" s="22"/><c r="E59" s="22"/><c r="F59" s="23"/><c r="G59" s="1"/><c r="H59" s="46"/><c r="I59" s="50"/><c r="J59" s="53"/><c r="L59" s="18"/><c r="M59" s="37"/><c r="N59" s="38"/><c r="O59" s="39"/><c r="P59" s="152"/><c r="Q59" s="66"/><c r="R59" s="152"/><c r="S59" s="67"/><c r="T59" s="154"/><c r="U59" s="68"/></row><row r="60" spans="1:21" x14ac:dyDescent="0.3"><c r="A60" s="20"/><c r="B60"/><c r="C60" s="40"/><c r="D60" s="22"/><c r="E60" s="22"/><c r="F60" s="23"/><c r="G60" s="1"/><c r="H60" s="46"/><c r="I60" s="50"/><c r="J60" s="53"/><c r="L60" s="18"/><c r="M60" s="37"/><c r="N60" s="38"/><c r="O60" s="39"/><c r="P60" s="152"/><c r="Q60" s="66"/><c r="R60" s="152"/><c r="S60" s="67"/><c r="T60" s="154"/><c r="U60" s="68"/></row><row r="61" spans="1:21" x14ac:dyDescent="0.3"><c r="A61" s="25"/><c r="B61"/><c r="C61" s="40"/><c r="D61" s="166"/><c r="E61" s="166"/><c r="F61" s="23"/><c r="G61" s="1"/><c r="H61" s="46"/><c r="I61" s="50"/><c r="J61" s="53"/><c r="L61" s="18"/><c r="M61" s="37"/><c r="N61" s="38"/><c r="O61" s="39"/><c r="P61" s="152"/><c r="Q61" s="66"/><c r="R61" s="152"/><c r="S61" s="67"/><c r="T61" s="154"/><c r="U61" s="68"/></row><row r="62" spans="1:21" x14ac:dyDescent="0.3"><c r="A62" s="25"/><c r="B62"/><c r="C62" s="40"/><c r="D62" s="22"/><c r="E62" s="22"/><c r="F62" s="23"/><c r="G62" s="1"/><c r="H62" s="46"/><c r="I62" s="50"/><c r="J62" s="53"/><c r="L62" s="18"/><c r="M62" s="37"/><c r="N62" s="38"/><c r="O62" s="39"/><c r="P62" s="152"/><c r="Q62" s="135"/><c r="R62" s="155"/><c r="S62" s="88"/><c r="T62" s="154"/><c r="U62" s="68"/></row><row r="63" spans="1:21" x14ac:dyDescent="0.3"><c r="A63" s="25"/><c r="B63"/><c r="C63" s="40"/><c r="D63" s="22"/><c r="E63" s="22"/><c r="F63" s="23"/><c r="G63" s="1"/><c r="H63" s="46"/><c r="I63" s="50"/><c r="J63" s="53"/><c r="L63" s="18"/><c r="M63" s="37"/><c r="N63" s="38"/><c r="O63" s="39"/><c r="P63" s="152"/><c r="Q63" s="135"/><c r="R63" s="155"/><c r="S63" s="88"/><c r="T63" s="154"/><c r="U63" s="68"/></row><row r="64" spans="1:21" x14ac:dyDescent="0.3"><c r="A64" s="25"/><c r="B64"/><c r="C64" s="40"/><c r="D64" s="22"/><c r="E64" s="22"/><c r="F64" s="23"/><c r="G64" s="1"/><c r="H64" s="46"/><c r="I64" s="50"/><c r="J64" s="53"/><c r="L64" s="18"/><c r="M64" s="37"/><c r="N64" s="38"/><c r="O64" s="39"/><c r="P64" s="152"/><c r="Q64" s="135"/><c r="R64" s="155"/><c r="S64" s="88"/><c r="T64" s="154"/><c r="U64" s="68"/></row><row r="65" spans="1:21" ht="15" thickBot="1" x14ac:dyDescent="0.35"><c r="A65" s="25"/><c r="B65"/><c r="C65" s="40"/><c r="D65" s="166"/><c r="E65" s="166"/><c r="F65" s="23"/><c r="G65" s="1"/><c r="H65" s="46"/><c r="I65" s="50"/><c r="J65" s="53"/><c r="L65" s="18"/><c r="M65" s="37"/><c r="N65" s="38"/><c r="O65" s="39"/><c r="P65" s="152"/><c r="Q65" s="84"/><c r="R65" s="155"/><c r="S65" s="88"/><c r="T65" s="154"/><c r="U65" s="71"/></row><row r="66" spans="1:23" ht="16.5" customHeight="1" thickBot="1" x14ac:dyDescent="0.35"><c r="A66" s="25"/><c r="B66"/><c r="C66" s="40"/><c r="D66" s="166"/><c r="E66" s="166"/><c r="F66" s="20"/><c r="G66" s="1"/><c r="H66" s="46"/><c r="I66" s="50"/><c r="J66" s="53"/><c r="L66"/><c r="M66" s="171" t="s"><v>34</v></c><c r="N66" s="172"/><c r="O66" s="42"/><c r="P66" s="52" t="s"><v>11</v></c><c r="Q66" s="42"/><c r="R66" s="52" t="s"><v>11</v></c><c r="S66" s="42"/><c r="T66" s="52" t="s"><v>11</v></c><c r="U66" s="42"/></row><row r="67" spans="1:23" ht="15" thickBot="1" x14ac:dyDescent="0.35"><c r="A67" s="25"/><c r="B67"/><c r="C67" s="90"/><c r="D67" s="166"/><c r="E67" s="166"/><c r="F67" s="23"/><c r="G67" s="1"/><c r="H67" s="46"/><c r="I67" s="50"/><c r="J67"/><c r="L67"/><c r="M67" s="54"/><c r="N67" s="55"/><c r="O67" s="70"/><c r="P67" s="23"/><c r="Q67" s="69"/><c r="R67" s="70"/><c r="S67" s="70"/><c r="T67" s="6"/></row><row r="68" spans="1:23" ht="16.2" thickBot="1" x14ac:dyDescent="0.35"><c r="A68" s="25"/><c r="B68"/><c r="C68" s="25"/><c r="D68" s="22"/><c r="E68" s="22"/><c r="F68" s="23"/><c r="G68" s="1"/><c r="H68" s="46"/><c r="I68" s="50"/><c r="J68"/><c r="L68"/><c r="M68" s="167" t="s"><v>47</v></c><c r="N68" s="168"/><c r="O68" s="169"/><c r="P68" s="181"/><c r="Q68" s="182"/><c r="R68" s="167" t="s"><v>37</v></c><c r="S68" s="168"/><c r="T68" s="183" t="str"><f>Q25</f></c><c r="U68" s="184"/></row><row r="69" spans="1:23" ht="15.75" customHeight="1" thickBot="1" x14ac:dyDescent="0.35"><c r="A69" s="25"/><c r="B69"/><c r="C69" s="25"/><c r="D69" s="166"/><c r="E69" s="166"/><c r="F69" s="63"/><c r="G69" s="1"/><c r="H69" s="46"/><c r="I69" s="50"/><c r="J69"/><c r="L69"/><c r="M69" s="56"/><c r="N69" s="83"/><c r="O69" s="83"/><c r="P69" s="57"/><c r="Q69" s="58"/><c r="R69" s="58"/><c r="S69" s="58"/><c r="T69" s="56"/><c r="U69" s="56"/></row><row r="70" spans="1:23" ht="15.75" customHeight="1" thickBot="1" x14ac:dyDescent="0.35"><c r="A70" s="25"/><c r="B70" s="90"/><c r="C70" s="25"/><c r="D70" s="166"/><c r="E70" s="166"/><c r="F70" s="63"/><c r="G70" s="1"/><c r="H70" s="46"/><c r="I70" s="50"/><c r="J70"/><c r="L70"/><c r="M70" s="171" t="s"><v>35</v></c><c r="N70" s="179"/><c r="O70" s="179"/><c r="P70" s="179"/><c r="Q70" s="179"/><c r="R70" s="179"/><c r="S70" s="179"/><c r="T70" s="179"/><c r="U70" s="180"/><c r="V70" s="51"/></row><row r="71" spans="1:23" ht="15" thickBot="1" x14ac:dyDescent="0.35"><c r="A71" s="25"/><c r="B71" s="20"/><c r="C71" s="25"/><c r="D71" s="166"/><c r="E71" s="166"/><c r="F71" s="63"/><c r="G71" s="1"/><c r="H71" s="46"/><c r="I71" s="50"/><c r="J71"/><c r="L71" s="49" t="s"><v>59</v></c><c r="M71" s="130" t="s"><v>55</v></c><c r="N71" s="131"/><c r="O71" s="131"/><c r="P71" s="131" t="s"><v>56</v></c><c r="Q71" s="131"/><c r="R71" s="131"/><c r="S71" s="131"/><c r="T71" s="131" t="s"><v>57</v></c><c r="U71" s="132" t="s"><v>60</v></c><c r="V71" s="144" t="s"><v>58</v></c><c r="W71" s="144" t="s"><v>50</v></c></row><row r="72" spans="1:23" ht="15.6" x14ac:dyDescent="0.3"><c r="A72" s="25"/><c r="B72" s="115"/><c r="C72" s="25"/><c r="D72" s="166"/><c r="E72" s="166"/><c r="F72" s="63"/><c r="G72" s="1"/><c r="H72" s="46"/><c r="I72" s="50"/><c r="J72" s="23"/><c r="L72" s="0"/><c r="M72" s="59"/><c r="N72" s="60"/><c r="O72" s="143" t="s"><v>43</v></c><c r="P72" s="62"/><c r="Q72" s="61"/><c r="R72" s="177" t="inlineStr"><is><t xml:space="preserve">CREDITO</t></is></c><c r="S72" s="177"/><c r="T72" s="133"/><c r="U72" s="134"/><c r="V72" s="51"/></row><row r="73" spans="1:23" ht="15.6" x14ac:dyDescent="0.3"><c r="B73" s="51"/><c r="C73" s="89"/><c r="D73" s="166"/><c r="E73" s="166"/><c r="F73" s="63"/><c r="I73" s="115"/><c r="L73"/><c r="M73" s="85"/><c r="N73" s="86"/><c r="O73" s="18"/><c r="P73" s="87"/><c r="Q73" s="56"/><c r="R73" s="175"/><c r="S73" s="175"/><c r="T73" s="65"/><c r="U73" s="95"/><c r="V73" s="51"/></row><row r="74" spans="1:23" ht="15.6" x14ac:dyDescent="0.3"><c r="A74" s="49"/><c r="B74" s="89"/><c r="C74" s="89"/><c r="D74" s="23"/><c r="E74" s="25"/><c r="F74" s="63"/><c r="I74" s="115"/><c r="L74" s="45"/><c r="M74" s="85"/><c r="N74" s="86"/><c r="O74" s="18" t="s"><v>43</v></c><c r="P74" s="87"/><c r="Q74" s="56"/><c r="R74" s="175" t="inlineStr"><is><t xml:space="preserve">TRANSFERENCIA</t></is></c><c r="S74" s="175"/><c r="T74" s="65"/><c r="U74" s="95"/><c r="V74" s="51"/></row><row r="75" spans="1:23" ht="15.6" x14ac:dyDescent="0.3"><c r="L75" s="45"/><c r="M75" s="85"/><c r="N75" s="86"/><c r="O75" s="123"/><c r="P75" s="87"/><c r="Q75" s="56"/><c r="R75" s="175"/><c r="S75" s="175"/><c r="T75" s="65"/><c r="U75" s="95"/><c r="V75" s="51"/></row><row r="76" spans="1:23" ht="15.6" x14ac:dyDescent="0.3"><c r="L76" s="45"/><c r="M76" s="137" t="s"><v>61</v></c><c r="N76" s="138"/><c r="O76" s="139"/><c r="P76" s="140"/><c r="Q76" s="141"/><c r="R76" s="176"/><c r="S76" s="176"/><c r="T76" s="173"/><c r="U76" s="174"/><c r="V76" s="51"/></row><row r="77" spans="1:23" ht="15.6" x14ac:dyDescent="0.3"><c r="L77" s="45"/><c r="M77" s="137" t="s"><v>62</v></c><c r="N77" s="138"/><c r="O77" s="139"/><c r="P77" s="140"/><c r="Q77" s="141"/><c r="R77" s="142"/><c r="S77" s="142"/><c r="T77" s="173"/><c r="U77" s="174"/><c r="V77" s="51"/></row><row r="78" spans="1:23" ht="16.2" thickBot="1" x14ac:dyDescent="0.35"><c r="L78" s="45"/><c r="M78" s="94"/><c r="N78" s="64"/><c r="O78" s="123"/><c r="P78" s="87"/><c r="Q78" s="56"/><c r="R78" s="56"/><c r="S78" s="56"/><c r="T78" s="65"/><c r="U78" s="95"/><c r="V78" s="51"/></row><row r="79" spans="1:23" ht="16.2" thickBot="1" x14ac:dyDescent="0.35"><c r="L79" s="45"/><c r="M79" s="101" t="s"><v>11</v></c><c r="N79" s="102"><f>SUM(N77:N78)</f><v>0</v></c><c r="O79" s="96"/><c r="P79" s="98"/><c r="Q79" s="97"/><c r="R79" s="97"/><c r="S79" s="97"/><c r="T79" s="99"/><c r="U79" s="100"/><c r="V79" s="51"/></row><row r="80" spans="1:23" x14ac:dyDescent="0.3"><c r="M80"/><c r="O80" s="5"/><c r="Q80"/><c r="S80"/><c r="T80" s="6"/><c r="V80" s="51"/></row><row r="81" spans="1:23" x14ac:dyDescent="0.3"><c r="O81"/><c r="V81" s="51"/></row><row r="82" spans="13:22" x14ac:dyDescent="0.3"><c r="M82" s="23"/><c r="N82" s="23"/><c r="O82" s="23"/><c r="P82" s="23"/><c r="Q82" s="23"/><c r="V82" s="51"/></row><row r="83" spans="13:22" x14ac:dyDescent="0.3"><c r="V83" s="51"/></row><row r="84" spans="13:22" x14ac:dyDescent="0.3"><c r="V84" s="51"/></row><row r="85" spans="13:22" x14ac:dyDescent="0.3"><c r="V85" s="51"/></row><row r="86" spans="13:22" x14ac:dyDescent="0.3"><c r="V86" s="51"/></row><row r="87" spans="13:22" x14ac:dyDescent="0.3"><c r="V87" s="51"/></row><row r="88" spans="13:22" x14ac:dyDescent="0.3"><c r="V88" s="51"/></row><row r="89" spans="13:22" x14ac:dyDescent="0.3"><c r="V89" s="51"/></row><row r="90" spans="13:22" x14ac:dyDescent="0.3"><c r="V90" s="51"/></row><row r="91" spans="13:22" x14ac:dyDescent="0.3"><c r="V91" s="51"/></row><row r="92" spans="13:22" x14ac:dyDescent="0.3"><c r="V92" s="51"/></row><row r="93" spans="13:22" x14ac:dyDescent="0.3"><c r="V93" s="51"/></row><row r="94" spans="13:22" x14ac:dyDescent="0.3"><c r="V94" s="51"/></row><row r="95" spans="13:22" x14ac:dyDescent="0.3"><c r="V95" s="51"/></row><row r="96" spans="13:22" x14ac:dyDescent="0.3"><c r="V96" s="51"/></row><row r="97" spans="13:22" x14ac:dyDescent="0.3"><c r="V97" s="51"/></row><row r="98" spans="22:22" x14ac:dyDescent="0.3"><c r="V98" s="51"/></row><row r="99" spans="22:22" x14ac:dyDescent="0.3"><c r="V99" s="51"/></row><row r="100" spans="22:22" x14ac:dyDescent="0.3"><c r="V100" s="51"/></row><row r="101" spans="22:22" x14ac:dyDescent="0.3"><c r="V101" s="51"/></row><row r="102" spans="22:22" x14ac:dyDescent="0.3"><c r="V102" s="51"/></row><row r="103" spans="22:22" x14ac:dyDescent="0.3"><c r="V103" s="51"/></row><row r="104" spans="22:22" x14ac:dyDescent="0.3"><c r="V104" s="51"/></row><row r="105" spans="22:22" x14ac:dyDescent="0.3"><c r="V105" s="51"/></row><row r="106" spans="22:22" x14ac:dyDescent="0.3"><c r="V106" s="51"/></row><row r="107" spans="22:22" x14ac:dyDescent="0.3"><c r="V107" s="51"/></row><row r="108" spans="22:22" x14ac:dyDescent="0.3"><c r="V108" s="51"/></row><row r="109" spans="22:22" x14ac:dyDescent="0.3"><c r="V109" s="51"/></row><row r="110" spans="22:22" x14ac:dyDescent="0.3"><c r="V110" s="51"/></row><row r="111" spans="22:22" x14ac:dyDescent="0.3"><c r="V111" s="51"/></row><row r="112" spans="22:22" x14ac:dyDescent="0.3"><c r="V112" s="51"/></row><row r="113" spans="22:22" x14ac:dyDescent="0.3"><c r="V113" s="51"/></row></sheetData><mergeCells count="70"><mergeCell ref="M25:N25"/><mergeCell ref="O30:P30"/><mergeCell ref="Q30:S30"/><mergeCell ref="T30:U30"/><mergeCell ref="Q32:S32"/><mergeCell ref="M31:N31"/><mergeCell ref="O31:P31"/><mergeCell ref="Q31:S31"/><mergeCell ref="M30:N30"/><mergeCell ref="M32:N32"/><mergeCell ref="O32:P32"/><mergeCell ref="M22:U22"/><mergeCell ref="Q26:S26"/><mergeCell ref="O29:P29"/><mergeCell ref="Q29:S29"/><mergeCell ref="T29:U29"/><mergeCell ref="T28:U28"/><mergeCell ref="O28:P28"/><mergeCell ref="Q28:S28"/><mergeCell ref="M28:N28"/><mergeCell ref="M29:N29"/><mergeCell ref="O27:P27"/><mergeCell ref="Q27:S27"/><mergeCell ref="T27:U27"/><mergeCell ref="N23:S23"/><mergeCell ref="N24:S24"/><mergeCell ref="T25:U25"/><mergeCell ref="D44:E44"/><mergeCell ref="R35:S35"/><mergeCell ref="T35:U35"/><mergeCell ref="O33:P33"/><mergeCell ref="Q33:S33"/><mergeCell ref="M34:N34"/><mergeCell ref="O34:P34"/><mergeCell ref="Q34:S34"/><mergeCell ref="P35:Q35"/><mergeCell ref="M35:O35"/><mergeCell ref="M39:N39"/><mergeCell ref="D72:E72"/><mergeCell ref="D73:E73"/><mergeCell ref="D53:E53"/><mergeCell ref="M70:U70"/><mergeCell ref="R68:S68"/><mergeCell ref="D69:E69"/><mergeCell ref="P68:Q68"/><mergeCell ref="T68:U68"/><mergeCell ref="D61:E61"/><mergeCell ref="D67:E67"/><mergeCell ref="D54:E54"/><mergeCell ref="D66:E66"/><mergeCell ref="D55:E55"/><mergeCell ref="D65:E65"/><mergeCell ref="T77:U77"/><mergeCell ref="R75:S75"/><mergeCell ref="R76:S76"/><mergeCell ref="R72:S72"/><mergeCell ref="R74:S74"/><mergeCell ref="R73:S73"/><mergeCell ref="T76:U76"/><mergeCell ref="D71:E71"/><mergeCell ref="D70:E70"/><mergeCell ref="M68:O68"/><mergeCell ref="D45:E45"/><mergeCell ref="D47:E47"/><mergeCell ref="M66:N66"/><mergeCell ref="D49:E49"/><mergeCell ref="D50:E50"/><mergeCell ref="D48:E48"/><mergeCell ref="D46:E46"/><mergeCell ref="D52:E52"/></mergeCells><pageMargins left="0.43307086614173229" right="0.23622047244094491" top="0" bottom="0.15748031496062992" header="0.31496062992125984" footer="0.31496062992125984"/><pageSetup paperSize="5" orientation="portrait" horizontalDpi="360" verticalDpi="360" r:id="rId1"/><drawing r:id="rId2"/>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MATRIZ</dc:creator>
  <cp:lastModifiedBy>Esteban Rojas Castillo</cp:lastModifiedBy>
  <cp:lastPrinted>2019-07-30T01:23:50Z</cp:lastPrinted>
  <dcterms:created xsi:type="dcterms:W3CDTF">2019-01-05T14:07:42Z</dcterms:created>
  <dcterms:modified xsi:type="dcterms:W3CDTF">2026-07-01T23:17:18Z</dcterms:modified>
</cp:coreProperties>
</file>