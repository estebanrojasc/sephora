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sumen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<sst xmlns="http://schemas.openxmlformats.org/spreadsheetml/2006/main" count="137" uniqueCount="108">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</sst>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2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 t="inlineStr">
        <is>
          <t xml:space="preserve">CRISTIAN</t>
        </is>
      </c>
      <c r="C1" s="120" t="inlineStr">
        <is>
          <t xml:space="preserve">CRISTIAN</t>
        </is>
      </c>
      <c r="D1" s="120" t="inlineStr">
        <is>
          <t xml:space="preserve">CRISTIAN</t>
        </is>
      </c>
      <c r="E1" s="112" t="inlineStr">
        <is>
          <t xml:space="preserve">PEDRO</t>
        </is>
      </c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/>
      <c r="C2" s="120"/>
      <c r="D2" s="120"/>
      <c r="E2" s="112" t="inlineStr">
        <is>
          <t xml:space="preserve">PERCY</t>
        </is>
      </c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/>
      <c r="C3" s="120"/>
      <c r="D3" s="120"/>
      <c r="E3" s="120" t="inlineStr">
        <is>
          <t xml:space="preserve">Ruta</t>
        </is>
      </c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/>
      <c r="C4" s="120"/>
      <c r="D4" s="120"/>
      <c r="E4" s="120" t="inlineStr">
        <is>
          <t xml:space="preserve">Agro</t>
        </is>
      </c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 t="inlineStr">
        <is>
          <t xml:space="preserve">260006341</t>
        </is>
      </c>
      <c r="C5" s="129" t="inlineStr">
        <is>
          <t xml:space="preserve">260006342</t>
        </is>
      </c>
      <c r="D5" s="129" t="inlineStr">
        <is>
          <t xml:space="preserve">260006343</t>
        </is>
      </c>
      <c r="E5" s="129" t="inlineStr">
        <is>
          <t xml:space="preserve">260006320</t>
        </is>
      </c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>
        <v>5</v>
      </c>
      <c r="C6" s="120">
        <v>5</v>
      </c>
      <c r="D6" s="120">
        <v>5</v>
      </c>
      <c r="E6" s="120">
        <v>5</v>
      </c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>
        <v>1000000</v>
      </c>
      <c r="C7" s="164">
        <v>1000000</v>
      </c>
      <c r="D7" s="164">
        <v>1000000</v>
      </c>
      <c r="E7" s="164">
        <v>1054260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/>
      <c r="C9" s="165"/>
      <c r="D9" s="165"/>
      <c r="E9" s="157">
        <v>592000</v>
      </c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/>
      <c r="C10" s="165"/>
      <c r="D10" s="165"/>
      <c r="E10" s="157">
        <v>1260</v>
      </c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/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>
        <v>127092</v>
      </c>
      <c r="C12" s="165">
        <v>127092</v>
      </c>
      <c r="D12" s="165">
        <v>972618</v>
      </c>
      <c r="E12" s="157">
        <v>461001</v>
      </c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/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/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/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/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/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 t="inlineStr">
        <is>
          <t xml:space="preserve">30-06-2026</t>
        </is>
      </c>
      <c r="O23" s="208"/>
      <c r="P23" s="208"/>
      <c r="Q23" s="208"/>
      <c r="R23" s="208"/>
      <c r="S23" s="209"/>
      <c r="T23" s="119" t="s">
        <v>38</v>
      </c>
      <c r="U23" s="106">
        <v>20</v>
      </c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>
        <v>4054260</v>
      </c>
      <c r="W24" s="118">
        <v>20</v>
      </c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>
        <v>592000</v>
      </c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>
        <v>1260</v>
      </c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/>
      <c r="R27" s="189"/>
      <c r="S27" s="190"/>
      <c r="T27" s="205" t="s">
        <v>19</v>
      </c>
      <c r="U27" s="206"/>
      <c r="V27" s="19"/>
      <c r="W27" s="92">
        <v>4054260</v>
      </c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>
        <v>1687803</v>
      </c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/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/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/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/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/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>
        <v>4054261</v>
      </c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/>
      <c r="N37" s="38"/>
      <c r="O37" s="39"/>
      <c r="P37" s="151">
        <v>605655</v>
      </c>
      <c r="Q37" s="77">
        <v>10000</v>
      </c>
      <c r="R37" s="153"/>
      <c r="S37" s="78"/>
      <c r="T37" s="152"/>
      <c r="U37" s="74"/>
      <c r="V37" s="1"/>
      <c r="W37" s="18" t="s">
        <v>14</v>
      </c>
    </row>
    <row r="38" spans="1:23" x14ac:dyDescent="0.3">
      <c r="A38" s="1"/>
      <c r="I38" s="41"/>
      <c r="J38" s="27"/>
      <c r="K38" s="24"/>
      <c r="L38" s="105"/>
      <c r="M38" s="37"/>
      <c r="N38" s="38"/>
      <c r="O38" s="39"/>
      <c r="P38" s="152">
        <v>605656</v>
      </c>
      <c r="Q38" s="66">
        <v>10001</v>
      </c>
      <c r="R38" s="154"/>
      <c r="S38" s="74"/>
      <c r="T38" s="152"/>
      <c r="U38" s="68"/>
      <c r="V38" s="1"/>
      <c r="W38" s="1" t="s">
        <v>14</v>
      </c>
    </row>
    <row r="39" spans="1:23" x14ac:dyDescent="0.3">
      <c r="A39" s="1"/>
      <c r="I39" s="41"/>
      <c r="J39" s="27"/>
      <c r="K39" s="24"/>
      <c r="L39" s="105"/>
      <c r="M39" s="37"/>
      <c r="N39" s="38"/>
      <c r="O39" s="39"/>
      <c r="P39" s="152">
        <v>605657</v>
      </c>
      <c r="Q39" s="66">
        <v>10002</v>
      </c>
      <c r="R39" s="154"/>
      <c r="S39" s="74"/>
      <c r="T39" s="152"/>
      <c r="U39" s="68"/>
      <c r="V39" s="1"/>
      <c r="W39" s="1" t="s">
        <v>14</v>
      </c>
    </row>
    <row r="40" spans="1:23" x14ac:dyDescent="0.3">
      <c r="A40" s="1"/>
      <c r="I40" s="41"/>
      <c r="J40" s="27"/>
      <c r="K40" s="24"/>
      <c r="L40" s="105"/>
      <c r="M40" s="37"/>
      <c r="N40" s="38"/>
      <c r="O40" s="39"/>
      <c r="P40" s="152">
        <v>605658</v>
      </c>
      <c r="Q40" s="66">
        <v>10003</v>
      </c>
      <c r="R40" s="154"/>
      <c r="S40" s="74"/>
      <c r="T40" s="152"/>
      <c r="U40" s="68"/>
      <c r="V40" s="1"/>
      <c r="W40" s="1" t="s">
        <v>14</v>
      </c>
    </row>
    <row r="41" spans="1:23" x14ac:dyDescent="0.3">
      <c r="A41" s="1"/>
      <c r="I41" s="41"/>
      <c r="J41" s="27"/>
      <c r="K41" s="24"/>
      <c r="L41" s="105"/>
      <c r="M41" s="37"/>
      <c r="N41" s="38"/>
      <c r="O41" s="39"/>
      <c r="P41" s="152">
        <v>605659</v>
      </c>
      <c r="Q41" s="66">
        <v>10004</v>
      </c>
      <c r="R41" s="154"/>
      <c r="S41" s="74"/>
      <c r="T41" s="152"/>
      <c r="U41" s="68"/>
      <c r="V41" s="1"/>
      <c r="W41" s="1" t="s">
        <v>14</v>
      </c>
    </row>
    <row r="42" spans="1:23" x14ac:dyDescent="0.3">
      <c r="A42" s="1"/>
      <c r="I42" s="41"/>
      <c r="J42" s="27"/>
      <c r="K42" s="24"/>
      <c r="L42" s="105"/>
      <c r="M42" s="37"/>
      <c r="N42" s="38"/>
      <c r="O42" s="39"/>
      <c r="P42" s="152">
        <v>605660</v>
      </c>
      <c r="Q42" s="66">
        <v>10005</v>
      </c>
      <c r="R42" s="154"/>
      <c r="S42" s="74"/>
      <c r="T42" s="152"/>
      <c r="U42" s="68"/>
      <c r="V42" s="1"/>
      <c r="W42" s="1" t="s">
        <v>14</v>
      </c>
    </row>
    <row r="43" spans="1:23" x14ac:dyDescent="0.3">
      <c r="A43" s="1"/>
      <c r="I43" s="41"/>
      <c r="J43" s="27"/>
      <c r="K43" s="24"/>
      <c r="L43" s="105"/>
      <c r="M43" s="37"/>
      <c r="N43" s="38"/>
      <c r="O43" s="39"/>
      <c r="P43" s="152">
        <v>605661</v>
      </c>
      <c r="Q43" s="66">
        <v>10006</v>
      </c>
      <c r="R43" s="154"/>
      <c r="S43" s="74"/>
      <c r="T43" s="152"/>
      <c r="U43" s="68"/>
      <c r="V43" s="1"/>
      <c r="W43" s="1" t="s">
        <v>14</v>
      </c>
    </row>
    <row r="44" spans="1:23" x14ac:dyDescent="0.3">
      <c r="A44" s="1"/>
      <c r="I44" s="41"/>
      <c r="J44" s="27"/>
      <c r="K44" s="24"/>
      <c r="L44" s="105"/>
      <c r="M44" s="37"/>
      <c r="N44" s="38"/>
      <c r="O44" s="39"/>
      <c r="P44" s="152">
        <v>605662</v>
      </c>
      <c r="Q44" s="66">
        <v>10007</v>
      </c>
      <c r="R44" s="154"/>
      <c r="S44" s="74"/>
      <c r="T44" s="152"/>
      <c r="U44" s="68"/>
      <c r="V44" s="1"/>
      <c r="W44" s="1" t="s">
        <v>14</v>
      </c>
    </row>
    <row r="45" spans="1:23" x14ac:dyDescent="0.3">
      <c r="A45" s="1"/>
      <c r="I45" s="41"/>
      <c r="J45" s="27"/>
      <c r="K45" s="24"/>
      <c r="L45" s="105"/>
      <c r="M45" s="37"/>
      <c r="N45" s="38"/>
      <c r="O45" s="39"/>
      <c r="P45" s="152">
        <v>605663</v>
      </c>
      <c r="Q45" s="66">
        <v>10008</v>
      </c>
      <c r="R45" s="154"/>
      <c r="S45" s="74"/>
      <c r="T45" s="152"/>
      <c r="U45" s="68"/>
      <c r="V45" s="1"/>
      <c r="W45" s="1" t="s">
        <v>14</v>
      </c>
    </row>
    <row r="46" spans="1:23" x14ac:dyDescent="0.3">
      <c r="A46" s="1"/>
      <c r="I46" s="41"/>
      <c r="J46" s="27"/>
      <c r="K46" s="24"/>
      <c r="L46" s="105"/>
      <c r="M46" s="37"/>
      <c r="N46" s="38"/>
      <c r="O46" s="39"/>
      <c r="P46" s="152">
        <v>605664</v>
      </c>
      <c r="Q46" s="66">
        <v>10009</v>
      </c>
      <c r="R46" s="154"/>
      <c r="S46" s="74"/>
      <c r="T46" s="152"/>
      <c r="U46" s="68"/>
      <c r="V46" s="1"/>
      <c r="W46" s="1" t="s">
        <v>14</v>
      </c>
    </row>
    <row r="47" spans="1:23" x14ac:dyDescent="0.3">
      <c r="A47" s="1"/>
      <c r="I47" s="41"/>
      <c r="J47" s="27"/>
      <c r="K47" s="24"/>
      <c r="L47" s="105"/>
      <c r="M47" s="37"/>
      <c r="N47" s="38"/>
      <c r="O47" s="39"/>
      <c r="P47" s="152">
        <v>605665</v>
      </c>
      <c r="Q47" s="66">
        <v>10010</v>
      </c>
      <c r="R47" s="154"/>
      <c r="S47" s="74"/>
      <c r="T47" s="152"/>
      <c r="U47" s="68"/>
      <c r="V47" s="1"/>
      <c r="W47" s="1" t="s">
        <v>14</v>
      </c>
    </row>
    <row r="48" spans="1:23" x14ac:dyDescent="0.3">
      <c r="A48" s="1"/>
      <c r="I48" s="41"/>
      <c r="J48" s="27"/>
      <c r="K48" s="24"/>
      <c r="L48" s="105"/>
      <c r="M48" s="37"/>
      <c r="N48" s="38"/>
      <c r="O48" s="39"/>
      <c r="P48" s="152">
        <v>605666</v>
      </c>
      <c r="Q48" s="66">
        <v>10011</v>
      </c>
      <c r="R48" s="154"/>
      <c r="S48" s="74"/>
      <c r="T48" s="152"/>
      <c r="U48" s="68"/>
      <c r="V48" s="1"/>
      <c r="W48" s="1" t="s">
        <v>14</v>
      </c>
    </row>
    <row r="49" spans="1:23" x14ac:dyDescent="0.3">
      <c r="A49" s="1"/>
      <c r="I49" s="41"/>
      <c r="J49" s="27"/>
      <c r="K49" s="24"/>
      <c r="L49" s="105"/>
      <c r="M49" s="37"/>
      <c r="N49" s="38"/>
      <c r="O49" s="39"/>
      <c r="P49" s="152">
        <v>605667</v>
      </c>
      <c r="Q49" s="66">
        <v>10012</v>
      </c>
      <c r="R49" s="154"/>
      <c r="S49" s="74"/>
      <c r="T49" s="152"/>
      <c r="U49" s="68"/>
      <c r="V49" s="1"/>
      <c r="W49" s="1" t="s">
        <v>14</v>
      </c>
    </row>
    <row r="50" spans="1:23" x14ac:dyDescent="0.3">
      <c r="A50" s="1"/>
      <c r="I50" s="41"/>
      <c r="J50" s="27"/>
      <c r="K50" s="24"/>
      <c r="L50" s="105"/>
      <c r="M50" s="37"/>
      <c r="N50" s="38"/>
      <c r="O50" s="39"/>
      <c r="P50" s="152">
        <v>605668</v>
      </c>
      <c r="Q50" s="66">
        <v>10013</v>
      </c>
      <c r="R50" s="154"/>
      <c r="S50" s="74"/>
      <c r="T50" s="152"/>
      <c r="U50" s="68"/>
      <c r="V50" s="1"/>
      <c r="W50" s="1" t="s">
        <v>14</v>
      </c>
    </row>
    <row r="51" spans="1:23" x14ac:dyDescent="0.3">
      <c r="A51" s="1"/>
      <c r="I51" s="41"/>
      <c r="J51" s="27"/>
      <c r="K51" s="24"/>
      <c r="L51" s="105"/>
      <c r="M51" s="37"/>
      <c r="N51" s="38"/>
      <c r="O51" s="39"/>
      <c r="P51" s="152">
        <v>605669</v>
      </c>
      <c r="Q51" s="66">
        <v>10014</v>
      </c>
      <c r="R51" s="154"/>
      <c r="S51" s="74"/>
      <c r="T51" s="152"/>
      <c r="U51" s="68"/>
      <c r="V51" s="1"/>
      <c r="W51" s="1" t="s">
        <v>14</v>
      </c>
    </row>
    <row r="52" spans="1:23" x14ac:dyDescent="0.3">
      <c r="A52" s="1"/>
      <c r="I52" s="41"/>
      <c r="J52" s="27"/>
      <c r="K52" s="24"/>
      <c r="L52" s="105"/>
      <c r="M52" s="37"/>
      <c r="N52" s="38"/>
      <c r="O52" s="39"/>
      <c r="P52" s="152">
        <v>605670</v>
      </c>
      <c r="Q52" s="66">
        <v>10015</v>
      </c>
      <c r="R52" s="154"/>
      <c r="S52" s="74"/>
      <c r="T52" s="152"/>
      <c r="U52" s="68"/>
      <c r="V52" s="1"/>
      <c r="W52" s="1" t="s">
        <v>14</v>
      </c>
    </row>
    <row r="53" spans="1:23" x14ac:dyDescent="0.3">
      <c r="A53" s="1"/>
      <c r="I53" s="41"/>
      <c r="J53" s="27"/>
      <c r="K53" s="24"/>
      <c r="L53" s="105"/>
      <c r="M53" s="37"/>
      <c r="N53" s="38"/>
      <c r="O53" s="39"/>
      <c r="P53" s="152">
        <v>605671</v>
      </c>
      <c r="Q53" s="66">
        <v>10016</v>
      </c>
      <c r="R53" s="154"/>
      <c r="S53" s="74"/>
      <c r="T53" s="152"/>
      <c r="U53" s="68"/>
      <c r="V53" s="1"/>
      <c r="W53" s="1" t="s">
        <v>14</v>
      </c>
    </row>
    <row r="54" spans="1:23" x14ac:dyDescent="0.3">
      <c r="A54" s="1"/>
      <c r="I54" s="41"/>
      <c r="J54" s="27"/>
      <c r="K54" s="24"/>
      <c r="L54" s="105"/>
      <c r="M54" s="37"/>
      <c r="N54" s="38"/>
      <c r="O54" s="39"/>
      <c r="P54" s="152">
        <v>605655</v>
      </c>
      <c r="Q54" s="66">
        <v>10000</v>
      </c>
      <c r="R54" s="154"/>
      <c r="S54" s="74"/>
      <c r="T54" s="152"/>
      <c r="U54" s="68"/>
      <c r="V54" s="1"/>
      <c r="W54" s="1" t="s">
        <v>14</v>
      </c>
    </row>
    <row r="55" spans="1:23" x14ac:dyDescent="0.3">
      <c r="A55" s="1"/>
      <c r="I55" s="41"/>
      <c r="J55" s="27"/>
      <c r="K55" s="24"/>
      <c r="L55" s="105"/>
      <c r="M55" s="37"/>
      <c r="N55" s="38"/>
      <c r="O55" s="39"/>
      <c r="P55" s="152">
        <v>605656</v>
      </c>
      <c r="Q55" s="66">
        <v>10001</v>
      </c>
      <c r="R55" s="154"/>
      <c r="S55" s="74"/>
      <c r="T55" s="152"/>
      <c r="U55" s="68"/>
      <c r="V55" s="1"/>
      <c r="W55" s="1" t="s">
        <v>14</v>
      </c>
    </row>
    <row r="56" spans="1:23" x14ac:dyDescent="0.3">
      <c r="A56" s="1"/>
      <c r="I56" s="41"/>
      <c r="J56" s="27"/>
      <c r="K56" s="24"/>
      <c r="L56" s="105"/>
      <c r="M56" s="37"/>
      <c r="N56" s="38"/>
      <c r="O56" s="39"/>
      <c r="P56" s="152">
        <v>605657</v>
      </c>
      <c r="Q56" s="66">
        <v>10002</v>
      </c>
      <c r="R56" s="154"/>
      <c r="S56" s="74"/>
      <c r="T56" s="152"/>
      <c r="U56" s="68"/>
      <c r="V56" s="1"/>
      <c r="W56" s="1" t="s">
        <v>14</v>
      </c>
    </row>
    <row r="57" spans="1:23" x14ac:dyDescent="0.3">
      <c r="A57" s="1"/>
      <c r="I57" s="41"/>
      <c r="J57" s="27"/>
      <c r="K57" s="24"/>
      <c r="L57" s="105"/>
      <c r="M57" s="37"/>
      <c r="N57" s="38"/>
      <c r="O57" s="39"/>
      <c r="P57" s="152">
        <v>605658</v>
      </c>
      <c r="Q57" s="66">
        <v>10003</v>
      </c>
      <c r="R57" s="154"/>
      <c r="S57" s="74"/>
      <c r="T57" s="152"/>
      <c r="U57" s="68"/>
      <c r="V57" s="1"/>
      <c r="W57" s="1" t="s">
        <v>14</v>
      </c>
    </row>
    <row r="58" spans="1:23" x14ac:dyDescent="0.3">
      <c r="A58" s="1"/>
      <c r="I58" s="41"/>
      <c r="J58" s="27"/>
      <c r="K58" s="24"/>
      <c r="L58" s="105"/>
      <c r="M58" s="37"/>
      <c r="N58" s="38"/>
      <c r="O58" s="39"/>
      <c r="P58" s="152">
        <v>605659</v>
      </c>
      <c r="Q58" s="66">
        <v>10004</v>
      </c>
      <c r="R58" s="154"/>
      <c r="S58" s="74"/>
      <c r="T58" s="152"/>
      <c r="U58" s="68"/>
      <c r="V58" s="1"/>
      <c r="W58" s="1" t="s">
        <v>14</v>
      </c>
    </row>
    <row r="59" spans="1:23" x14ac:dyDescent="0.3">
      <c r="A59" s="1"/>
      <c r="I59" s="41"/>
      <c r="J59" s="27"/>
      <c r="K59" s="24"/>
      <c r="L59" s="105"/>
      <c r="M59" s="37"/>
      <c r="N59" s="38"/>
      <c r="O59" s="39"/>
      <c r="P59" s="152">
        <v>605660</v>
      </c>
      <c r="Q59" s="66">
        <v>10005</v>
      </c>
      <c r="R59" s="154"/>
      <c r="S59" s="74"/>
      <c r="T59" s="152"/>
      <c r="U59" s="68"/>
      <c r="V59" s="1"/>
      <c r="W59" s="1" t="s">
        <v>14</v>
      </c>
    </row>
    <row r="60" spans="1:23" x14ac:dyDescent="0.3">
      <c r="A60" s="1"/>
      <c r="I60" s="41"/>
      <c r="J60" s="27"/>
      <c r="K60" s="24"/>
      <c r="L60" s="105"/>
      <c r="M60" s="37"/>
      <c r="N60" s="38"/>
      <c r="O60" s="39"/>
      <c r="P60" s="152">
        <v>605661</v>
      </c>
      <c r="Q60" s="66">
        <v>10006</v>
      </c>
      <c r="R60" s="154"/>
      <c r="S60" s="74"/>
      <c r="T60" s="152"/>
      <c r="U60" s="68"/>
      <c r="V60" s="1"/>
      <c r="W60" s="1" t="s">
        <v>14</v>
      </c>
    </row>
    <row r="61" spans="1:23" x14ac:dyDescent="0.3">
      <c r="A61" s="1"/>
      <c r="I61" s="41"/>
      <c r="J61" s="27"/>
      <c r="K61" s="24"/>
      <c r="L61" s="105"/>
      <c r="M61" s="37"/>
      <c r="N61" s="38"/>
      <c r="O61" s="39"/>
      <c r="P61" s="152">
        <v>605662</v>
      </c>
      <c r="Q61" s="66">
        <v>10007</v>
      </c>
      <c r="R61" s="154"/>
      <c r="S61" s="74"/>
      <c r="T61" s="152"/>
      <c r="U61" s="68"/>
      <c r="V61" s="1"/>
      <c r="W61" s="1" t="s">
        <v>14</v>
      </c>
    </row>
    <row r="62" spans="1:23" x14ac:dyDescent="0.3">
      <c r="A62" s="1"/>
      <c r="I62" s="41"/>
      <c r="J62" s="27"/>
      <c r="K62" s="24"/>
      <c r="L62" s="105"/>
      <c r="M62" s="37"/>
      <c r="N62" s="38"/>
      <c r="O62" s="39"/>
      <c r="P62" s="152">
        <v>605663</v>
      </c>
      <c r="Q62" s="66">
        <v>10008</v>
      </c>
      <c r="R62" s="154"/>
      <c r="S62" s="74"/>
      <c r="T62" s="152"/>
      <c r="U62" s="68"/>
      <c r="V62" s="1"/>
      <c r="W62" s="1" t="s">
        <v>14</v>
      </c>
    </row>
    <row r="63" spans="1:23" x14ac:dyDescent="0.3">
      <c r="A63" s="1"/>
      <c r="I63" s="41"/>
      <c r="J63" s="27"/>
      <c r="K63" s="24"/>
      <c r="L63" s="105"/>
      <c r="M63" s="37"/>
      <c r="N63" s="38"/>
      <c r="O63" s="39"/>
      <c r="P63" s="152">
        <v>605664</v>
      </c>
      <c r="Q63" s="66">
        <v>10009</v>
      </c>
      <c r="R63" s="154"/>
      <c r="S63" s="74"/>
      <c r="T63" s="152"/>
      <c r="U63" s="68"/>
      <c r="V63" s="1"/>
      <c r="W63" s="1" t="s">
        <v>14</v>
      </c>
    </row>
    <row r="64" spans="1:23" x14ac:dyDescent="0.3">
      <c r="A64" s="1"/>
      <c r="I64" s="41"/>
      <c r="J64" s="27"/>
      <c r="K64" s="24"/>
      <c r="L64" s="105"/>
      <c r="M64" s="37"/>
      <c r="N64" s="38"/>
      <c r="O64" s="39"/>
      <c r="P64" s="152">
        <v>605665</v>
      </c>
      <c r="Q64" s="66">
        <v>10010</v>
      </c>
      <c r="R64" s="154"/>
      <c r="S64" s="74"/>
      <c r="T64" s="152"/>
      <c r="U64" s="68"/>
      <c r="V64" s="1"/>
      <c r="W64" s="1" t="s">
        <v>14</v>
      </c>
    </row>
    <row r="65" spans="1:23" x14ac:dyDescent="0.3">
      <c r="A65" s="1"/>
      <c r="I65" s="41"/>
      <c r="J65" s="27"/>
      <c r="K65" s="24"/>
      <c r="L65" s="105"/>
      <c r="M65" s="37"/>
      <c r="N65" s="38"/>
      <c r="O65" s="39"/>
      <c r="P65" s="152">
        <v>605666</v>
      </c>
      <c r="Q65" s="66">
        <v>10011</v>
      </c>
      <c r="R65" s="154"/>
      <c r="S65" s="74"/>
      <c r="T65" s="152"/>
      <c r="U65" s="68"/>
      <c r="V65" s="1"/>
      <c r="W65" s="1" t="s">
        <v>14</v>
      </c>
    </row>
    <row r="66" spans="1:23" x14ac:dyDescent="0.3">
      <c r="A66" s="1"/>
      <c r="I66" s="41"/>
      <c r="J66" s="27"/>
      <c r="K66" s="24"/>
      <c r="L66" s="105"/>
      <c r="M66" s="37"/>
      <c r="N66" s="38"/>
      <c r="O66" s="39"/>
      <c r="P66" s="152">
        <v>605667</v>
      </c>
      <c r="Q66" s="66">
        <v>10012</v>
      </c>
      <c r="R66" s="154"/>
      <c r="S66" s="74"/>
      <c r="T66" s="152"/>
      <c r="U66" s="68"/>
      <c r="V66" s="1"/>
      <c r="W66" s="1" t="s">
        <v>14</v>
      </c>
    </row>
    <row r="67" spans="1:23" x14ac:dyDescent="0.3">
      <c r="A67" s="1"/>
      <c r="I67" s="41"/>
      <c r="J67" s="27"/>
      <c r="K67" s="24"/>
      <c r="L67" s="105"/>
      <c r="M67" s="37"/>
      <c r="N67" s="38"/>
      <c r="O67" s="39"/>
      <c r="P67" s="152">
        <v>605668</v>
      </c>
      <c r="Q67" s="66">
        <v>10013</v>
      </c>
      <c r="R67" s="154"/>
      <c r="S67" s="74"/>
      <c r="T67" s="152"/>
      <c r="U67" s="68"/>
      <c r="V67" s="1"/>
      <c r="W67" s="1" t="s">
        <v>14</v>
      </c>
    </row>
    <row r="68" spans="1:23" x14ac:dyDescent="0.3">
      <c r="A68" s="1"/>
      <c r="I68" s="41"/>
      <c r="J68" s="27"/>
      <c r="K68" s="24"/>
      <c r="L68" s="105"/>
      <c r="M68" s="37"/>
      <c r="N68" s="38"/>
      <c r="O68" s="39"/>
      <c r="P68" s="152">
        <v>605669</v>
      </c>
      <c r="Q68" s="66">
        <v>10014</v>
      </c>
      <c r="R68" s="154"/>
      <c r="S68" s="74"/>
      <c r="T68" s="152"/>
      <c r="U68" s="68"/>
      <c r="V68" s="1"/>
      <c r="W68" s="1" t="s">
        <v>14</v>
      </c>
    </row>
    <row r="69" spans="1:23" x14ac:dyDescent="0.3">
      <c r="A69" s="1"/>
      <c r="I69" s="41"/>
      <c r="J69" s="27"/>
      <c r="K69" s="24"/>
      <c r="L69" s="105"/>
      <c r="M69" s="37"/>
      <c r="N69" s="38"/>
      <c r="O69" s="39"/>
      <c r="P69" s="152">
        <v>605670</v>
      </c>
      <c r="Q69" s="66">
        <v>10015</v>
      </c>
      <c r="R69" s="154"/>
      <c r="S69" s="74"/>
      <c r="T69" s="152"/>
      <c r="U69" s="68"/>
      <c r="V69" s="1"/>
      <c r="W69" s="1" t="s">
        <v>14</v>
      </c>
    </row>
    <row r="70" spans="1:23" x14ac:dyDescent="0.3">
      <c r="A70" s="1"/>
      <c r="I70" s="41"/>
      <c r="J70" s="27"/>
      <c r="K70" s="24"/>
      <c r="L70" s="105"/>
      <c r="M70" s="37"/>
      <c r="N70" s="38"/>
      <c r="O70" s="39"/>
      <c r="P70" s="152">
        <v>605671</v>
      </c>
      <c r="Q70" s="66">
        <v>10016</v>
      </c>
      <c r="R70" s="154"/>
      <c r="S70" s="74"/>
      <c r="T70" s="152"/>
      <c r="U70" s="68"/>
      <c r="V70" s="1"/>
      <c r="W70" s="1" t="s">
        <v>14</v>
      </c>
    </row>
    <row r="71" spans="1:23" x14ac:dyDescent="0.3">
      <c r="A71" s="1"/>
      <c r="I71" s="41"/>
      <c r="J71" s="27"/>
      <c r="K71" s="24"/>
      <c r="L71" s="105"/>
      <c r="M71" s="37"/>
      <c r="N71" s="38"/>
      <c r="O71" s="39"/>
      <c r="P71" s="152">
        <v>605655</v>
      </c>
      <c r="Q71" s="66">
        <v>10000</v>
      </c>
      <c r="R71" s="154"/>
      <c r="S71" s="74"/>
      <c r="T71" s="152"/>
      <c r="U71" s="68"/>
      <c r="V71" s="1"/>
      <c r="W71" s="1" t="s">
        <v>14</v>
      </c>
    </row>
    <row r="72" spans="1:23" x14ac:dyDescent="0.3">
      <c r="A72" s="1"/>
      <c r="I72" s="41"/>
      <c r="J72" s="27"/>
      <c r="K72" s="24"/>
      <c r="L72" s="105"/>
      <c r="M72" s="37"/>
      <c r="N72" s="38"/>
      <c r="O72" s="39"/>
      <c r="P72" s="152">
        <v>605656</v>
      </c>
      <c r="Q72" s="66">
        <v>10001</v>
      </c>
      <c r="R72" s="154"/>
      <c r="S72" s="74"/>
      <c r="T72" s="152"/>
      <c r="U72" s="68"/>
      <c r="V72" s="1"/>
      <c r="W72" s="1" t="s">
        <v>14</v>
      </c>
    </row>
    <row r="73" spans="1:23" x14ac:dyDescent="0.3">
      <c r="A73" s="1"/>
      <c r="I73" s="41"/>
      <c r="J73" s="27"/>
      <c r="K73" s="24"/>
      <c r="L73" s="105"/>
      <c r="M73" s="37"/>
      <c r="N73" s="38"/>
      <c r="O73" s="39"/>
      <c r="P73" s="152">
        <v>605657</v>
      </c>
      <c r="Q73" s="66">
        <v>10002</v>
      </c>
      <c r="R73" s="154"/>
      <c r="S73" s="74"/>
      <c r="T73" s="152"/>
      <c r="U73" s="68"/>
      <c r="V73" s="1"/>
      <c r="W73" s="1" t="s">
        <v>14</v>
      </c>
    </row>
    <row r="74" spans="1:23" x14ac:dyDescent="0.3">
      <c r="A74" s="1"/>
      <c r="I74" s="41"/>
      <c r="J74" s="27"/>
      <c r="K74" s="24"/>
      <c r="L74" s="105"/>
      <c r="M74" s="37"/>
      <c r="N74" s="38"/>
      <c r="O74" s="39"/>
      <c r="P74" s="152">
        <v>605658</v>
      </c>
      <c r="Q74" s="66">
        <v>10003</v>
      </c>
      <c r="R74" s="154"/>
      <c r="S74" s="74"/>
      <c r="T74" s="152"/>
      <c r="U74" s="68"/>
      <c r="V74" s="1"/>
      <c r="W74" s="1" t="s">
        <v>14</v>
      </c>
    </row>
    <row r="75" spans="1:23" x14ac:dyDescent="0.3">
      <c r="A75" s="1"/>
      <c r="I75" s="41"/>
      <c r="J75" s="27"/>
      <c r="K75" s="24"/>
      <c r="L75" s="105"/>
      <c r="M75" s="37"/>
      <c r="N75" s="38"/>
      <c r="O75" s="39"/>
      <c r="P75" s="152">
        <v>605659</v>
      </c>
      <c r="Q75" s="66">
        <v>10004</v>
      </c>
      <c r="R75" s="154"/>
      <c r="S75" s="74"/>
      <c r="T75" s="152"/>
      <c r="U75" s="68"/>
      <c r="V75" s="1"/>
      <c r="W75" s="1" t="s">
        <v>14</v>
      </c>
    </row>
    <row r="76" spans="1:23" x14ac:dyDescent="0.3">
      <c r="A76" s="1"/>
      <c r="I76" s="41"/>
      <c r="J76" s="27"/>
      <c r="K76" s="24"/>
      <c r="L76" s="105"/>
      <c r="M76" s="37"/>
      <c r="N76" s="38"/>
      <c r="O76" s="39"/>
      <c r="P76" s="152">
        <v>605660</v>
      </c>
      <c r="Q76" s="66">
        <v>10005</v>
      </c>
      <c r="R76" s="154"/>
      <c r="S76" s="74"/>
      <c r="T76" s="152"/>
      <c r="U76" s="68"/>
      <c r="V76" s="1"/>
      <c r="W76" s="1" t="s">
        <v>14</v>
      </c>
    </row>
    <row r="77" spans="1:23" x14ac:dyDescent="0.3">
      <c r="A77" s="1"/>
      <c r="I77" s="41"/>
      <c r="J77" s="27"/>
      <c r="K77" s="24"/>
      <c r="L77" s="105"/>
      <c r="M77" s="37"/>
      <c r="N77" s="38"/>
      <c r="O77" s="39"/>
      <c r="P77" s="152">
        <v>605661</v>
      </c>
      <c r="Q77" s="66">
        <v>10006</v>
      </c>
      <c r="R77" s="154"/>
      <c r="S77" s="74"/>
      <c r="T77" s="152"/>
      <c r="U77" s="68"/>
      <c r="V77" s="1"/>
      <c r="W77" s="1" t="s">
        <v>14</v>
      </c>
    </row>
    <row r="78" spans="1:23" x14ac:dyDescent="0.3">
      <c r="A78" s="1"/>
      <c r="I78" s="41"/>
      <c r="J78" s="27"/>
      <c r="K78" s="24"/>
      <c r="L78" s="105"/>
      <c r="M78" s="37"/>
      <c r="N78" s="38"/>
      <c r="O78" s="39"/>
      <c r="P78" s="152">
        <v>605662</v>
      </c>
      <c r="Q78" s="66">
        <v>10007</v>
      </c>
      <c r="R78" s="154"/>
      <c r="S78" s="74"/>
      <c r="T78" s="152"/>
      <c r="U78" s="68"/>
      <c r="V78" s="1"/>
      <c r="W78" s="1" t="s">
        <v>14</v>
      </c>
    </row>
    <row r="79" spans="1:23" x14ac:dyDescent="0.3">
      <c r="A79" s="1"/>
      <c r="I79" s="41"/>
      <c r="J79" s="27"/>
      <c r="K79" s="24"/>
      <c r="L79" s="105"/>
      <c r="M79" s="37"/>
      <c r="N79" s="38"/>
      <c r="O79" s="39"/>
      <c r="P79" s="152">
        <v>605663</v>
      </c>
      <c r="Q79" s="66">
        <v>10008</v>
      </c>
      <c r="R79" s="154"/>
      <c r="S79" s="74"/>
      <c r="T79" s="152"/>
      <c r="U79" s="68"/>
      <c r="V79" s="1"/>
      <c r="W79" s="1" t="s">
        <v>14</v>
      </c>
    </row>
    <row r="80" spans="1:23" x14ac:dyDescent="0.3">
      <c r="A80" s="1"/>
      <c r="I80" s="41"/>
      <c r="J80" s="27"/>
      <c r="K80" s="24"/>
      <c r="L80" s="105"/>
      <c r="M80" s="37"/>
      <c r="N80" s="38"/>
      <c r="O80" s="39"/>
      <c r="P80" s="152">
        <v>605664</v>
      </c>
      <c r="Q80" s="66">
        <v>10009</v>
      </c>
      <c r="R80" s="154"/>
      <c r="S80" s="74"/>
      <c r="T80" s="152"/>
      <c r="U80" s="68"/>
      <c r="V80" s="1"/>
      <c r="W80" s="1" t="s">
        <v>14</v>
      </c>
    </row>
    <row r="81" spans="1:23" x14ac:dyDescent="0.3">
      <c r="A81" s="1"/>
      <c r="I81" s="41"/>
      <c r="J81" s="27"/>
      <c r="K81" s="24"/>
      <c r="L81" s="105"/>
      <c r="M81" s="37"/>
      <c r="N81" s="38"/>
      <c r="O81" s="39"/>
      <c r="P81" s="152">
        <v>605665</v>
      </c>
      <c r="Q81" s="66">
        <v>10010</v>
      </c>
      <c r="R81" s="154"/>
      <c r="S81" s="74"/>
      <c r="T81" s="152"/>
      <c r="U81" s="68"/>
      <c r="V81" s="1"/>
      <c r="W81" s="1" t="s">
        <v>14</v>
      </c>
    </row>
    <row r="82" spans="1:23" x14ac:dyDescent="0.3">
      <c r="A82" s="1"/>
      <c r="I82" s="41"/>
      <c r="J82" s="27"/>
      <c r="K82" s="24"/>
      <c r="L82" s="105"/>
      <c r="M82" s="37"/>
      <c r="N82" s="38"/>
      <c r="O82" s="39"/>
      <c r="P82" s="152">
        <v>605666</v>
      </c>
      <c r="Q82" s="66">
        <v>10011</v>
      </c>
      <c r="R82" s="154"/>
      <c r="S82" s="74"/>
      <c r="T82" s="152"/>
      <c r="U82" s="68"/>
      <c r="V82" s="1"/>
      <c r="W82" s="1" t="s">
        <v>14</v>
      </c>
    </row>
    <row r="83" spans="1:23" x14ac:dyDescent="0.3">
      <c r="A83" s="1"/>
      <c r="I83" s="41"/>
      <c r="J83" s="27"/>
      <c r="K83" s="24"/>
      <c r="L83" s="105"/>
      <c r="M83" s="37"/>
      <c r="N83" s="38"/>
      <c r="O83" s="39"/>
      <c r="P83" s="152">
        <v>605667</v>
      </c>
      <c r="Q83" s="66">
        <v>10012</v>
      </c>
      <c r="R83" s="154"/>
      <c r="S83" s="74"/>
      <c r="T83" s="152"/>
      <c r="U83" s="68"/>
      <c r="V83" s="1"/>
      <c r="W83" s="1" t="s">
        <v>14</v>
      </c>
    </row>
    <row r="84" spans="1:23" x14ac:dyDescent="0.3">
      <c r="A84" s="1"/>
      <c r="I84" s="41"/>
      <c r="J84" s="27"/>
      <c r="K84" s="24"/>
      <c r="L84" s="105"/>
      <c r="M84" s="37"/>
      <c r="N84" s="38"/>
      <c r="O84" s="39"/>
      <c r="P84" s="152">
        <v>605668</v>
      </c>
      <c r="Q84" s="66">
        <v>10013</v>
      </c>
      <c r="R84" s="154"/>
      <c r="S84" s="74"/>
      <c r="T84" s="152"/>
      <c r="U84" s="68"/>
      <c r="V84" s="1"/>
      <c r="W84" s="1" t="s">
        <v>14</v>
      </c>
    </row>
    <row r="85" spans="1:23" x14ac:dyDescent="0.3">
      <c r="A85" s="1"/>
      <c r="I85" s="41"/>
      <c r="J85" s="27"/>
      <c r="K85" s="24"/>
      <c r="L85" s="105"/>
      <c r="M85" s="37"/>
      <c r="N85" s="38"/>
      <c r="O85" s="39"/>
      <c r="P85" s="152">
        <v>605669</v>
      </c>
      <c r="Q85" s="66">
        <v>10014</v>
      </c>
      <c r="R85" s="154"/>
      <c r="S85" s="74"/>
      <c r="T85" s="152"/>
      <c r="U85" s="68"/>
      <c r="V85" s="1"/>
      <c r="W85" s="1" t="s">
        <v>14</v>
      </c>
    </row>
    <row r="86" spans="1:23" x14ac:dyDescent="0.3">
      <c r="A86" s="1"/>
      <c r="I86" s="41"/>
      <c r="J86" s="27"/>
      <c r="K86" s="24"/>
      <c r="L86" s="105"/>
      <c r="M86" s="37"/>
      <c r="N86" s="38"/>
      <c r="O86" s="39"/>
      <c r="P86" s="152">
        <v>605670</v>
      </c>
      <c r="Q86" s="66">
        <v>10015</v>
      </c>
      <c r="R86" s="154"/>
      <c r="S86" s="74"/>
      <c r="T86" s="152"/>
      <c r="U86" s="68"/>
      <c r="V86" s="1"/>
      <c r="W86" s="1" t="s">
        <v>14</v>
      </c>
    </row>
    <row r="87" spans="1:23" x14ac:dyDescent="0.3">
      <c r="A87" s="1"/>
      <c r="I87" s="41"/>
      <c r="J87" s="27"/>
      <c r="K87" s="24"/>
      <c r="L87" s="105"/>
      <c r="M87" s="37"/>
      <c r="N87" s="38"/>
      <c r="O87" s="39"/>
      <c r="P87" s="152">
        <v>605671</v>
      </c>
      <c r="Q87" s="66">
        <v>10016</v>
      </c>
      <c r="R87" s="154"/>
      <c r="S87" s="74"/>
      <c r="T87" s="152"/>
      <c r="U87" s="68"/>
      <c r="V87" s="1"/>
      <c r="W87" s="1" t="s">
        <v>14</v>
      </c>
    </row>
    <row r="88" spans="1:23" ht="15" thickBot="1" x14ac:dyDescent="0.35">
      <c r="B88" s="20"/>
      <c r="C88" s="32"/>
      <c r="I88" s="41">
        <f t="shared" ref="I88:I95" si="6">L$1</f>
        <v>0</v>
      </c>
      <c r="J88" s="27">
        <f t="shared" ref="J88:J95" si="7">L10</f>
        <v>0</v>
      </c>
      <c r="L88" s="105"/>
      <c r="M88" s="171" t="s">
        <v>42</v>
      </c>
      <c r="N88" s="179"/>
      <c r="O88" s="150"/>
      <c r="P88" s="152"/>
      <c r="Q88" s="75"/>
      <c r="R88" s="154"/>
      <c r="S88" s="73"/>
      <c r="T88" s="152"/>
      <c r="U88" s="76"/>
      <c r="V88" s="1"/>
      <c r="W88" s="1"/>
    </row>
    <row r="89" spans="1:23" x14ac:dyDescent="0.3">
      <c r="O89" s="39">
        <v>127092</v>
      </c>
      <c r="N89" s="38" t="inlineStr">
        <is>
          <t xml:space="preserve">SANTANDER</t>
        </is>
      </c>
      <c r="M89" s="37" t="inlineStr">
        <is>
          <t xml:space="preserve">30-07-2026</t>
        </is>
      </c>
      <c r="B89" s="20"/>
      <c r="C89" s="32"/>
      <c r="I89" s="41">
        <f t="shared" si="6"/>
        <v>0</v>
      </c>
      <c r="J139" s="27">
        <f t="shared" si="7"/>
        <v>0</v>
      </c>
      <c r="K139" s="24"/>
      <c r="L139" s="105"/>
      <c r="M139" s="37"/>
      <c r="N139" s="38"/>
      <c r="O139" s="39"/>
      <c r="P139" s="152"/>
      <c r="Q139" s="68"/>
      <c r="R139" s="154"/>
      <c r="S139" s="73"/>
      <c r="T139" s="152"/>
      <c r="U139" s="68"/>
      <c r="V139" s="1"/>
      <c r="W139" s="1"/>
    </row>
    <row r="90" spans="1:23" ht="16.5" customHeight="1" x14ac:dyDescent="0.4">
      <c r="O90" s="39">
        <v>127092</v>
      </c>
      <c r="N90" s="38" t="inlineStr">
        <is>
          <t xml:space="preserve">SANTANDER</t>
        </is>
      </c>
      <c r="M90" s="37" t="inlineStr">
        <is>
          <t xml:space="preserve">30-07-2026</t>
        </is>
      </c>
      <c r="B140" s="20"/>
      <c r="C140" s="32"/>
      <c r="D140" s="44"/>
      <c r="E140" s="43"/>
      <c r="I140" s="41">
        <f t="shared" si="6"/>
        <v>0</v>
      </c>
      <c r="J140" s="27">
        <f t="shared" si="7"/>
        <v>0</v>
      </c>
      <c r="K140" s="24"/>
      <c r="L140" s="105"/>
      <c r="M140" s="37"/>
      <c r="N140" s="38"/>
      <c r="O140" s="39"/>
      <c r="P140" s="152"/>
      <c r="Q140" s="66"/>
      <c r="R140" s="154"/>
      <c r="S140" s="74"/>
      <c r="T140" s="152"/>
      <c r="U140" s="68"/>
      <c r="V140" s="1"/>
      <c r="W140" s="1"/>
    </row>
    <row r="91" spans="1:23" ht="15" customHeight="1" x14ac:dyDescent="0.3">
      <c r="O91" s="39">
        <v>972618</v>
      </c>
      <c r="N91" s="38" t="inlineStr">
        <is>
          <t xml:space="preserve">ITAU</t>
        </is>
      </c>
      <c r="M91" s="37" t="inlineStr">
        <is>
          <t xml:space="preserve">30-07-2026</t>
        </is>
      </c>
      <c r="B141" s="20"/>
      <c r="C141" s="32"/>
      <c r="D141" s="23"/>
      <c r="E141" s="23"/>
      <c r="I141" s="41">
        <f t="shared" si="6"/>
        <v>0</v>
      </c>
      <c r="J141" s="27">
        <f t="shared" si="7"/>
        <v>0</v>
      </c>
      <c r="K141" s="24"/>
      <c r="L141" s="105"/>
      <c r="M141" s="37"/>
      <c r="N141" s="38"/>
      <c r="O141" s="39"/>
      <c r="P141" s="152"/>
      <c r="Q141" s="66"/>
      <c r="R141" s="154"/>
      <c r="S141" s="74"/>
      <c r="T141" s="152"/>
      <c r="U141" s="68"/>
      <c r="V141" s="1"/>
      <c r="W141" s="1"/>
    </row>
    <row r="92" spans="1:23" ht="15" customHeight="1" x14ac:dyDescent="0.6">
      <c r="O92" s="39">
        <v>368449</v>
      </c>
      <c r="N92" s="38" t="inlineStr">
        <is>
          <t xml:space="preserve">BCI</t>
        </is>
      </c>
      <c r="M92" s="37" t="inlineStr">
        <is>
          <t xml:space="preserve">30-07-2026</t>
        </is>
      </c>
      <c r="B142" s="20"/>
      <c r="C142" s="25"/>
      <c r="D142" s="23"/>
      <c r="E142" s="23"/>
      <c r="F142" s="47"/>
      <c r="I142" s="41">
        <f t="shared" si="6"/>
        <v>0</v>
      </c>
      <c r="J142" s="27">
        <f t="shared" si="7"/>
        <v>0</v>
      </c>
      <c r="L142" s="105"/>
      <c r="M142" s="37"/>
      <c r="N142" s="38"/>
      <c r="O142" s="39"/>
      <c r="P142" s="152"/>
      <c r="Q142" s="66"/>
      <c r="R142" s="154"/>
      <c r="S142" s="73"/>
      <c r="T142" s="152"/>
      <c r="U142" s="68"/>
      <c r="V142" s="1"/>
      <c r="W142" s="1"/>
    </row>
    <row r="93" spans="1:23" ht="15.75" customHeight="1" x14ac:dyDescent="0.6">
      <c r="O93" s="39">
        <v>92552</v>
      </c>
      <c r="N93" s="38" t="inlineStr">
        <is>
          <t xml:space="preserve">BCI</t>
        </is>
      </c>
      <c r="M93" s="37" t="inlineStr">
        <is>
          <t xml:space="preserve">30-07-2026</t>
        </is>
      </c>
      <c r="A143" s="104"/>
      <c r="B143" s="20"/>
      <c r="C143" s="32"/>
      <c r="D143" s="170"/>
      <c r="E143" s="170"/>
      <c r="F143" s="47"/>
      <c r="G143" s="8"/>
      <c r="I143" s="41">
        <f t="shared" si="6"/>
        <v>0</v>
      </c>
      <c r="J143" s="27">
        <f t="shared" si="7"/>
        <v>0</v>
      </c>
      <c r="K143" s="24"/>
      <c r="L143" s="105"/>
      <c r="M143" s="37"/>
      <c r="N143" s="38"/>
      <c r="O143" s="39"/>
      <c r="P143" s="152"/>
      <c r="Q143" s="66"/>
      <c r="R143" s="152"/>
      <c r="S143" s="67"/>
      <c r="T143" s="152"/>
      <c r="U143" s="68"/>
    </row>
    <row r="94" spans="1:23" ht="15" customHeight="1" x14ac:dyDescent="0.3">
      <c r="A144" s="25"/>
      <c r="B144" s="20"/>
      <c r="C144" s="25"/>
      <c r="D144" s="170"/>
      <c r="E144" s="170"/>
      <c r="F144" s="48"/>
      <c r="H144" s="64"/>
      <c r="I144" s="41">
        <f t="shared" si="6"/>
        <v>0</v>
      </c>
      <c r="J144" s="27">
        <f t="shared" si="7"/>
        <v>0</v>
      </c>
      <c r="K144" s="24"/>
      <c r="L144" s="105"/>
      <c r="M144" s="37"/>
      <c r="N144" s="38"/>
      <c r="O144" s="39"/>
      <c r="P144" s="152"/>
      <c r="Q144" s="66"/>
      <c r="R144" s="152"/>
      <c r="S144" s="67"/>
      <c r="T144" s="152"/>
      <c r="U144" s="68"/>
    </row>
    <row r="95" spans="1:23" x14ac:dyDescent="0.3">
      <c r="A145" s="25"/>
      <c r="B145" s="25"/>
      <c r="C145" s="40"/>
      <c r="D145" s="170"/>
      <c r="E145" s="170"/>
      <c r="F145" s="23"/>
      <c r="H145" s="64"/>
      <c r="I145" s="41">
        <f t="shared" si="6"/>
        <v>0</v>
      </c>
      <c r="J145" s="27">
        <f t="shared" si="7"/>
        <v>0</v>
      </c>
      <c r="L145" s="105"/>
      <c r="M145" s="37"/>
      <c r="N145" s="38"/>
      <c r="O145" s="39"/>
      <c r="P145" s="152"/>
      <c r="Q145" s="66"/>
      <c r="R145" s="152"/>
      <c r="S145" s="72"/>
      <c r="T145" s="152"/>
      <c r="U145" s="68"/>
    </row>
    <row r="96" spans="1:23" x14ac:dyDescent="0.3">
      <c r="A146" s="20"/>
      <c r="B146" s="20"/>
      <c r="C146" s="40"/>
      <c r="D146" s="170"/>
      <c r="E146" s="170"/>
      <c r="F146" s="49"/>
      <c r="H146" s="64"/>
      <c r="I146" s="13"/>
      <c r="J146" s="53">
        <f>SUM(J28:J95)</f>
        <v>0</v>
      </c>
      <c r="L96" s="105"/>
      <c r="M96" s="37"/>
      <c r="N96" s="38"/>
      <c r="O96" s="39"/>
      <c r="P96" s="152"/>
      <c r="Q96" s="66"/>
      <c r="R96" s="152"/>
      <c r="S96" s="67"/>
      <c r="T96" s="152"/>
      <c r="U96" s="68"/>
    </row>
    <row r="97" spans="1:23" x14ac:dyDescent="0.3">
      <c r="A97" s="20"/>
      <c r="B97" s="20"/>
      <c r="C97" s="40"/>
      <c r="D97" s="170"/>
      <c r="E97" s="170"/>
      <c r="F97" s="17"/>
      <c r="G97" s="1"/>
      <c r="H97" s="64"/>
      <c r="I97" s="13"/>
      <c r="J97" s="53"/>
      <c r="K97" s="24"/>
      <c r="L97" s="105"/>
      <c r="M97" s="37"/>
      <c r="N97" s="38"/>
      <c r="O97" s="39"/>
      <c r="P97" s="152"/>
      <c r="Q97" s="66"/>
      <c r="R97" s="152"/>
      <c r="S97" s="67"/>
      <c r="T97" s="152"/>
      <c r="U97" s="68"/>
    </row>
    <row r="98" spans="1:23" x14ac:dyDescent="0.3">
      <c r="A98" s="20"/>
      <c r="B98" s="20"/>
      <c r="C98" s="40"/>
      <c r="D98" s="170"/>
      <c r="E98" s="170"/>
      <c r="F98" s="23"/>
      <c r="G98" s="1"/>
      <c r="H98" s="64"/>
      <c r="I98" s="13"/>
      <c r="J98" s="53"/>
      <c r="L98" s="105"/>
      <c r="M98" s="37"/>
      <c r="N98" s="38"/>
      <c r="O98" s="39"/>
      <c r="P98" s="152"/>
      <c r="Q98" s="66"/>
      <c r="R98" s="152"/>
      <c r="S98" s="67"/>
      <c r="T98" s="154"/>
      <c r="U98" s="68"/>
    </row>
    <row r="99" spans="1:21" x14ac:dyDescent="0.3">
      <c r="A99" s="20"/>
      <c r="B99" s="20"/>
      <c r="C99" s="40"/>
      <c r="D99" s="170"/>
      <c r="E99" s="170"/>
      <c r="F99" s="23"/>
      <c r="G99" s="1"/>
      <c r="H99" s="46"/>
      <c r="I99" s="13"/>
      <c r="J99" s="53"/>
      <c r="L99" s="105"/>
      <c r="M99" s="37"/>
      <c r="N99" s="38"/>
      <c r="O99" s="39"/>
      <c r="P99" s="152"/>
      <c r="Q99" s="66"/>
      <c r="R99" s="152"/>
      <c r="S99" s="67"/>
      <c r="T99" s="154"/>
      <c r="U99" s="68"/>
    </row>
    <row r="100" spans="1:21" x14ac:dyDescent="0.3">
      <c r="A100" s="20"/>
      <c r="B100" s="20"/>
      <c r="C100" s="40"/>
      <c r="D100" s="23"/>
      <c r="E100" s="25"/>
      <c r="F100" s="23"/>
      <c r="G100" s="1"/>
      <c r="H100" s="46"/>
      <c r="I100" s="13"/>
      <c r="J100" s="53"/>
      <c r="L100" s="105"/>
      <c r="M100" s="37"/>
      <c r="N100" s="38"/>
      <c r="O100" s="39"/>
      <c r="P100" s="152"/>
      <c r="Q100" s="66"/>
      <c r="R100" s="152"/>
      <c r="S100" s="67"/>
      <c r="T100" s="154"/>
      <c r="U100" s="68"/>
    </row>
    <row r="101" spans="1:21" x14ac:dyDescent="0.3">
      <c r="A101" s="20"/>
      <c r="B101" s="20"/>
      <c r="C101" s="40"/>
      <c r="D101" s="185"/>
      <c r="E101" s="185"/>
      <c r="F101" s="23"/>
      <c r="G101" s="1"/>
      <c r="H101" s="46"/>
      <c r="I101" s="13"/>
      <c r="J101" s="53"/>
      <c r="L101" s="105"/>
      <c r="M101" s="37"/>
      <c r="N101" s="38"/>
      <c r="O101" s="39"/>
      <c r="P101" s="151"/>
      <c r="Q101" s="66"/>
      <c r="R101" s="152"/>
      <c r="S101" s="67"/>
      <c r="T101" s="154"/>
      <c r="U101" s="68"/>
    </row>
    <row r="102" spans="1:21" x14ac:dyDescent="0.3">
      <c r="A102" s="20"/>
      <c r="B102" s="51"/>
      <c r="C102" s="40"/>
      <c r="D102" s="178"/>
      <c r="E102" s="178"/>
      <c r="F102" s="23"/>
      <c r="G102" s="1"/>
      <c r="H102" s="46"/>
      <c r="I102" s="50"/>
      <c r="J102" s="53"/>
      <c r="L102" s="105"/>
      <c r="M102" s="37"/>
      <c r="N102" s="38"/>
      <c r="O102" s="39"/>
      <c r="P102" s="151"/>
      <c r="Q102" s="66"/>
      <c r="R102" s="152"/>
      <c r="S102" s="67"/>
      <c r="T102" s="154"/>
      <c r="U102" s="68"/>
    </row>
    <row r="103" spans="1:21" x14ac:dyDescent="0.3">
      <c r="A103" s="25"/>
      <c r="B103" s="51"/>
      <c r="C103" s="40"/>
      <c r="D103" s="166"/>
      <c r="E103" s="166"/>
      <c r="F103" s="23"/>
      <c r="G103" s="1"/>
      <c r="H103" s="46"/>
      <c r="I103" s="50"/>
      <c r="J103" s="53"/>
      <c r="L103" s="18"/>
      <c r="M103" s="37"/>
      <c r="N103" s="38"/>
      <c r="O103" s="39"/>
      <c r="P103" s="152"/>
      <c r="Q103" s="66"/>
      <c r="R103" s="152"/>
      <c r="S103" s="67"/>
      <c r="T103" s="154"/>
      <c r="U103" s="68"/>
    </row>
    <row r="104" spans="1:21" x14ac:dyDescent="0.3">
      <c r="A104" s="20"/>
      <c r="B104" s="51"/>
      <c r="C104" s="40"/>
      <c r="D104" s="166"/>
      <c r="E104" s="166"/>
      <c r="F104" s="23"/>
      <c r="G104" s="1"/>
      <c r="H104" s="46"/>
      <c r="I104" s="50"/>
      <c r="J104" s="53"/>
      <c r="L104" s="18"/>
      <c r="M104" s="37"/>
      <c r="N104" s="38"/>
      <c r="O104" s="39"/>
      <c r="P104" s="152"/>
      <c r="Q104" s="66"/>
      <c r="R104" s="152"/>
      <c r="S104" s="67"/>
      <c r="T104" s="154"/>
      <c r="U104" s="68"/>
    </row>
    <row r="105" spans="1:21" x14ac:dyDescent="0.3">
      <c r="A105" s="20"/>
      <c r="B105" s="51"/>
      <c r="C105" s="40"/>
      <c r="D105" s="22"/>
      <c r="E105" s="22"/>
      <c r="F105" s="23"/>
      <c r="G105" s="1"/>
      <c r="H105" s="46"/>
      <c r="I105" s="50"/>
      <c r="J105" s="53"/>
      <c r="L105" s="18"/>
      <c r="M105" s="37"/>
      <c r="N105" s="38"/>
      <c r="O105" s="39"/>
      <c r="P105" s="152"/>
      <c r="Q105" s="66"/>
      <c r="R105" s="152"/>
      <c r="S105" s="67"/>
      <c r="T105" s="154"/>
      <c r="U105" s="68"/>
    </row>
    <row r="106" spans="1:21" x14ac:dyDescent="0.3">
      <c r="A106" s="20"/>
      <c r="B106"/>
      <c r="C106" s="40"/>
      <c r="D106" s="22"/>
      <c r="E106" s="22"/>
      <c r="F106" s="23"/>
      <c r="G106" s="1"/>
      <c r="H106" s="46"/>
      <c r="I106" s="50"/>
      <c r="J106" s="53"/>
      <c r="L106" s="18"/>
      <c r="M106" s="37"/>
      <c r="N106" s="38"/>
      <c r="O106" s="39"/>
      <c r="P106" s="152"/>
      <c r="Q106" s="66"/>
      <c r="R106" s="152"/>
      <c r="S106" s="67"/>
      <c r="T106" s="154"/>
      <c r="U106" s="68"/>
    </row>
    <row r="107" spans="1:21" x14ac:dyDescent="0.3">
      <c r="A107" s="20"/>
      <c r="B107"/>
      <c r="C107" s="40"/>
      <c r="D107" s="22"/>
      <c r="E107" s="22"/>
      <c r="F107" s="23"/>
      <c r="G107" s="1"/>
      <c r="H107" s="46"/>
      <c r="I107" s="50"/>
      <c r="J107" s="53"/>
      <c r="L107" s="18"/>
      <c r="M107" s="37"/>
      <c r="N107" s="38"/>
      <c r="O107" s="39"/>
      <c r="P107" s="152"/>
      <c r="Q107" s="66"/>
      <c r="R107" s="152"/>
      <c r="S107" s="67"/>
      <c r="T107" s="154"/>
      <c r="U107" s="68"/>
    </row>
    <row r="108" spans="1:21" x14ac:dyDescent="0.3">
      <c r="A108" s="20"/>
      <c r="B108"/>
      <c r="C108" s="40"/>
      <c r="D108" s="22"/>
      <c r="E108" s="22"/>
      <c r="F108" s="23"/>
      <c r="G108" s="1"/>
      <c r="H108" s="46"/>
      <c r="I108" s="50"/>
      <c r="J108" s="53"/>
      <c r="L108" s="18"/>
      <c r="M108" s="37"/>
      <c r="N108" s="38"/>
      <c r="O108" s="39"/>
      <c r="P108" s="152"/>
      <c r="Q108" s="66"/>
      <c r="R108" s="152"/>
      <c r="S108" s="67"/>
      <c r="T108" s="154"/>
      <c r="U108" s="68"/>
    </row>
    <row r="109" spans="1:21" x14ac:dyDescent="0.3">
      <c r="A109" s="20"/>
      <c r="B109"/>
      <c r="C109" s="40"/>
      <c r="D109" s="22"/>
      <c r="E109" s="22"/>
      <c r="F109" s="23"/>
      <c r="G109" s="1"/>
      <c r="H109" s="46"/>
      <c r="I109" s="50"/>
      <c r="J109" s="53"/>
      <c r="L109" s="18"/>
      <c r="M109" s="37"/>
      <c r="N109" s="38"/>
      <c r="O109" s="39"/>
      <c r="P109" s="152"/>
      <c r="Q109" s="66"/>
      <c r="R109" s="152"/>
      <c r="S109" s="67"/>
      <c r="T109" s="154"/>
      <c r="U109" s="68"/>
    </row>
    <row r="110" spans="1:21" x14ac:dyDescent="0.3">
      <c r="A110" s="25"/>
      <c r="B110"/>
      <c r="C110" s="40"/>
      <c r="D110" s="166"/>
      <c r="E110" s="166"/>
      <c r="F110" s="23"/>
      <c r="G110" s="1"/>
      <c r="H110" s="46"/>
      <c r="I110" s="50"/>
      <c r="J110" s="53"/>
      <c r="L110" s="18"/>
      <c r="M110" s="37"/>
      <c r="N110" s="38"/>
      <c r="O110" s="39"/>
      <c r="P110" s="152"/>
      <c r="Q110" s="66"/>
      <c r="R110" s="152"/>
      <c r="S110" s="67"/>
      <c r="T110" s="154"/>
      <c r="U110" s="68"/>
    </row>
    <row r="111" spans="1:21" x14ac:dyDescent="0.3">
      <c r="A111" s="25"/>
      <c r="B111"/>
      <c r="C111" s="40"/>
      <c r="D111" s="22"/>
      <c r="E111" s="22"/>
      <c r="F111" s="23"/>
      <c r="G111" s="1"/>
      <c r="H111" s="46"/>
      <c r="I111" s="50"/>
      <c r="J111" s="53"/>
      <c r="L111" s="18"/>
      <c r="M111" s="37"/>
      <c r="N111" s="38"/>
      <c r="O111" s="39"/>
      <c r="P111" s="152"/>
      <c r="Q111" s="135"/>
      <c r="R111" s="155"/>
      <c r="S111" s="88"/>
      <c r="T111" s="154"/>
      <c r="U111" s="68"/>
    </row>
    <row r="112" spans="1:21" x14ac:dyDescent="0.3">
      <c r="A112" s="25"/>
      <c r="B112"/>
      <c r="C112" s="40"/>
      <c r="D112" s="22"/>
      <c r="E112" s="22"/>
      <c r="F112" s="23"/>
      <c r="G112" s="1"/>
      <c r="H112" s="46"/>
      <c r="I112" s="50"/>
      <c r="J112" s="53"/>
      <c r="L112" s="18"/>
      <c r="M112" s="37"/>
      <c r="N112" s="38"/>
      <c r="O112" s="39"/>
      <c r="P112" s="152"/>
      <c r="Q112" s="135"/>
      <c r="R112" s="155"/>
      <c r="S112" s="88"/>
      <c r="T112" s="154"/>
      <c r="U112" s="68"/>
    </row>
    <row r="113" spans="1:21" x14ac:dyDescent="0.3">
      <c r="A113" s="25"/>
      <c r="B113"/>
      <c r="C113" s="40"/>
      <c r="D113" s="22"/>
      <c r="E113" s="22"/>
      <c r="F113" s="23"/>
      <c r="G113" s="1"/>
      <c r="H113" s="46"/>
      <c r="I113" s="50"/>
      <c r="J113" s="53"/>
      <c r="L113" s="18"/>
      <c r="M113" s="37"/>
      <c r="N113" s="38"/>
      <c r="O113" s="39"/>
      <c r="P113" s="152"/>
      <c r="Q113" s="135"/>
      <c r="R113" s="155"/>
      <c r="S113" s="88"/>
      <c r="T113" s="154"/>
      <c r="U113" s="68"/>
    </row>
    <row r="114" spans="1:21" ht="15" thickBot="1" x14ac:dyDescent="0.35">
      <c r="A114" s="25"/>
      <c r="B114"/>
      <c r="C114" s="40"/>
      <c r="D114" s="166"/>
      <c r="E114" s="166"/>
      <c r="F114" s="23"/>
      <c r="G114" s="1"/>
      <c r="H114" s="46"/>
      <c r="I114" s="50"/>
      <c r="J114" s="53"/>
      <c r="L114" s="18"/>
      <c r="M114" s="37"/>
      <c r="N114" s="38"/>
      <c r="O114" s="39"/>
      <c r="P114" s="152"/>
      <c r="Q114" s="84"/>
      <c r="R114" s="155"/>
      <c r="S114" s="88"/>
      <c r="T114" s="154"/>
      <c r="U114" s="71"/>
    </row>
    <row r="115" spans="1:23" ht="16.5" customHeight="1" thickBot="1" x14ac:dyDescent="0.35">
      <c r="A115" s="25"/>
      <c r="B115"/>
      <c r="C115" s="40"/>
      <c r="D115" s="166"/>
      <c r="E115" s="166"/>
      <c r="F115" s="20"/>
      <c r="G115" s="1"/>
      <c r="H115" s="46"/>
      <c r="I115" s="50"/>
      <c r="J115" s="53"/>
      <c r="L115"/>
      <c r="M115" s="171" t="s">
        <v>34</v>
      </c>
      <c r="N115" s="172"/>
      <c r="O115" s="42">
        <v>1687803</v>
      </c>
      <c r="P115" s="52" t="s">
        <v>11</v>
      </c>
      <c r="Q115" s="42">
        <v>51</v>
      </c>
      <c r="R115" s="52" t="s">
        <v>11</v>
      </c>
      <c r="S115" s="42"/>
      <c r="T115" s="52" t="s">
        <v>11</v>
      </c>
      <c r="U115" s="42"/>
    </row>
    <row r="116" spans="1:23" ht="15" thickBot="1" x14ac:dyDescent="0.35">
      <c r="A116" s="25"/>
      <c r="B116"/>
      <c r="C116" s="90"/>
      <c r="D116" s="166"/>
      <c r="E116" s="166"/>
      <c r="F116" s="23"/>
      <c r="G116" s="1"/>
      <c r="H116" s="46"/>
      <c r="I116" s="50"/>
      <c r="J116"/>
      <c r="L116"/>
      <c r="M116" s="54"/>
      <c r="N116" s="55"/>
      <c r="O116" s="70"/>
      <c r="P116" s="23"/>
      <c r="Q116" s="69"/>
      <c r="R116" s="70"/>
      <c r="S116" s="70"/>
      <c r="T116" s="6"/>
    </row>
    <row r="117" spans="1:23" ht="16.2" thickBot="1" x14ac:dyDescent="0.35">
      <c r="A117" s="25"/>
      <c r="B117"/>
      <c r="C117" s="25"/>
      <c r="D117" s="22"/>
      <c r="E117" s="22"/>
      <c r="F117" s="23"/>
      <c r="G117" s="1"/>
      <c r="H117" s="46"/>
      <c r="I117" s="50"/>
      <c r="J117"/>
      <c r="L117"/>
      <c r="M117" s="167" t="s">
        <v>47</v>
      </c>
      <c r="N117" s="168"/>
      <c r="O117" s="169"/>
      <c r="P117" s="181"/>
      <c r="Q117" s="182"/>
      <c r="R117" s="167" t="s">
        <v>37</v>
      </c>
      <c r="S117" s="168"/>
      <c r="T117" s="183" t="str">
        <f>Q25</f>
      </c>
      <c r="U117" s="184"/>
    </row>
    <row r="118" spans="1:23" ht="15.75" customHeight="1" thickBot="1" x14ac:dyDescent="0.35">
      <c r="A118" s="25"/>
      <c r="B118"/>
      <c r="C118" s="25"/>
      <c r="D118" s="166"/>
      <c r="E118" s="166"/>
      <c r="F118" s="63"/>
      <c r="G118" s="1"/>
      <c r="H118" s="46"/>
      <c r="I118" s="50"/>
      <c r="J118"/>
      <c r="L118"/>
      <c r="M118" s="56"/>
      <c r="N118" s="83"/>
      <c r="O118" s="83"/>
      <c r="P118" s="57"/>
      <c r="Q118" s="58"/>
      <c r="R118" s="58"/>
      <c r="S118" s="58"/>
      <c r="T118" s="56"/>
      <c r="U118" s="56"/>
    </row>
    <row r="119" spans="1:23" ht="15.75" customHeight="1" thickBot="1" x14ac:dyDescent="0.35">
      <c r="A119" s="25"/>
      <c r="B119" s="90"/>
      <c r="C119" s="25"/>
      <c r="D119" s="166"/>
      <c r="E119" s="166"/>
      <c r="F119" s="63"/>
      <c r="G119" s="1"/>
      <c r="H119" s="46"/>
      <c r="I119" s="50"/>
      <c r="J119"/>
      <c r="L119"/>
      <c r="M119" s="171" t="s">
        <v>35</v>
      </c>
      <c r="N119" s="179"/>
      <c r="O119" s="179"/>
      <c r="P119" s="179"/>
      <c r="Q119" s="179"/>
      <c r="R119" s="179"/>
      <c r="S119" s="179"/>
      <c r="T119" s="179"/>
      <c r="U119" s="180"/>
      <c r="V119" s="51"/>
    </row>
    <row r="120" spans="1:23" ht="15" thickBot="1" x14ac:dyDescent="0.35">
      <c r="A120" s="25"/>
      <c r="B120" s="20"/>
      <c r="C120" s="25"/>
      <c r="D120" s="166"/>
      <c r="E120" s="166"/>
      <c r="F120" s="63"/>
      <c r="G120" s="1"/>
      <c r="H120" s="46"/>
      <c r="I120" s="50"/>
      <c r="J120"/>
      <c r="L120" s="49" t="s">
        <v>59</v>
      </c>
      <c r="M120" s="130" t="s">
        <v>55</v>
      </c>
      <c r="N120" s="131"/>
      <c r="O120" s="131"/>
      <c r="P120" s="131" t="s">
        <v>56</v>
      </c>
      <c r="Q120" s="131"/>
      <c r="R120" s="131"/>
      <c r="S120" s="131"/>
      <c r="T120" s="131" t="s">
        <v>57</v>
      </c>
      <c r="U120" s="132" t="s">
        <v>60</v>
      </c>
      <c r="V120" s="144" t="s">
        <v>58</v>
      </c>
      <c r="W120" s="144" t="s">
        <v>50</v>
      </c>
    </row>
    <row r="121" spans="1:23" ht="15.6" x14ac:dyDescent="0.3">
      <c r="A121" s="25"/>
      <c r="B121" s="115"/>
      <c r="C121" s="25"/>
      <c r="D121" s="166"/>
      <c r="E121" s="166"/>
      <c r="F121" s="63"/>
      <c r="G121" s="1"/>
      <c r="H121" s="46"/>
      <c r="I121" s="50"/>
      <c r="J121" s="23"/>
      <c r="L121" s="0"/>
      <c r="M121" s="59"/>
      <c r="N121" s="60"/>
      <c r="O121" s="143" t="s">
        <v>43</v>
      </c>
      <c r="P121" s="62"/>
      <c r="Q121" s="61"/>
      <c r="R121" s="177" t="inlineStr">
        <is>
          <t xml:space="preserve">CREDITO</t>
        </is>
      </c>
      <c r="S121" s="177"/>
      <c r="T121" s="133"/>
      <c r="U121" s="134"/>
      <c r="V121" s="51"/>
    </row>
    <row r="122" spans="1:23" ht="15.6" x14ac:dyDescent="0.3">
      <c r="B122" s="51"/>
      <c r="C122" s="89"/>
      <c r="D122" s="166"/>
      <c r="E122" s="166"/>
      <c r="F122" s="63"/>
      <c r="I122" s="115"/>
      <c r="L122"/>
      <c r="M122" s="85"/>
      <c r="N122" s="86"/>
      <c r="O122" s="18"/>
      <c r="P122" s="87"/>
      <c r="Q122" s="56"/>
      <c r="R122" s="175"/>
      <c r="S122" s="175"/>
      <c r="T122" s="65"/>
      <c r="U122" s="95"/>
      <c r="V122" s="51"/>
    </row>
    <row r="123" spans="1:23" ht="15.6" x14ac:dyDescent="0.3">
      <c r="A123" s="49"/>
      <c r="B123" s="89"/>
      <c r="C123" s="89"/>
      <c r="D123" s="23"/>
      <c r="E123" s="25"/>
      <c r="F123" s="63"/>
      <c r="I123" s="115"/>
      <c r="L123" s="45"/>
      <c r="M123" s="85"/>
      <c r="N123" s="86"/>
      <c r="O123" s="18" t="s">
        <v>43</v>
      </c>
      <c r="P123" s="87"/>
      <c r="Q123" s="56"/>
      <c r="R123" s="175" t="inlineStr">
        <is>
          <t xml:space="preserve">TRANSFERENCIA</t>
        </is>
      </c>
      <c r="S123" s="175"/>
      <c r="T123" s="65"/>
      <c r="U123" s="95"/>
      <c r="V123" s="51"/>
    </row>
    <row r="124" spans="1:23" ht="15.6" x14ac:dyDescent="0.3">
      <c r="L124" s="45"/>
      <c r="M124" s="85"/>
      <c r="N124" s="86"/>
      <c r="O124" s="123"/>
      <c r="P124" s="87"/>
      <c r="Q124" s="56"/>
      <c r="R124" s="175"/>
      <c r="S124" s="175"/>
      <c r="T124" s="65"/>
      <c r="U124" s="95"/>
      <c r="V124" s="51"/>
    </row>
    <row r="125" spans="1:23" ht="15.6" x14ac:dyDescent="0.3">
      <c r="L125" s="45"/>
      <c r="M125" s="137" t="s">
        <v>61</v>
      </c>
      <c r="N125" s="138"/>
      <c r="O125" s="139"/>
      <c r="P125" s="140"/>
      <c r="Q125" s="141"/>
      <c r="R125" s="176"/>
      <c r="S125" s="176"/>
      <c r="T125" s="173"/>
      <c r="U125" s="174"/>
      <c r="V125" s="51"/>
    </row>
    <row r="126" spans="1:23" ht="15.6" x14ac:dyDescent="0.3">
      <c r="L126" s="45"/>
      <c r="M126" s="137" t="s">
        <v>62</v>
      </c>
      <c r="N126" s="138"/>
      <c r="O126" s="139"/>
      <c r="P126" s="140"/>
      <c r="Q126" s="141"/>
      <c r="R126" s="142"/>
      <c r="S126" s="142"/>
      <c r="T126" s="173"/>
      <c r="U126" s="174"/>
      <c r="V126" s="51"/>
    </row>
    <row r="127" spans="1:23" ht="16.2" thickBot="1" x14ac:dyDescent="0.35">
      <c r="L127" s="45"/>
      <c r="M127" s="94"/>
      <c r="N127" s="64"/>
      <c r="O127" s="123"/>
      <c r="P127" s="87"/>
      <c r="Q127" s="56"/>
      <c r="R127" s="56"/>
      <c r="S127" s="56"/>
      <c r="T127" s="65"/>
      <c r="U127" s="95"/>
      <c r="V127" s="51"/>
    </row>
    <row r="128" spans="1:23" ht="16.2" thickBot="1" x14ac:dyDescent="0.35">
      <c r="L128" s="45"/>
      <c r="M128" s="101" t="s">
        <v>11</v>
      </c>
      <c r="N128" s="102">
        <f>SUM(N126:N127)</f>
        <v>0</v>
      </c>
      <c r="O128" s="96"/>
      <c r="P128" s="98"/>
      <c r="Q128" s="97"/>
      <c r="R128" s="97"/>
      <c r="S128" s="97"/>
      <c r="T128" s="99"/>
      <c r="U128" s="100"/>
      <c r="V128" s="51"/>
    </row>
    <row r="129" spans="1:23" x14ac:dyDescent="0.3">
      <c r="M129"/>
      <c r="O129" s="5"/>
      <c r="Q129"/>
      <c r="S129"/>
      <c r="T129" s="6"/>
      <c r="V129" s="51"/>
    </row>
    <row r="130" spans="1:23" x14ac:dyDescent="0.3">
      <c r="O130"/>
      <c r="V130" s="51"/>
    </row>
    <row r="131" spans="13:22" x14ac:dyDescent="0.3">
      <c r="M131" s="23"/>
      <c r="N131" s="23"/>
      <c r="O131" s="23"/>
      <c r="P131" s="23"/>
      <c r="Q131" s="23"/>
      <c r="V131" s="51"/>
    </row>
    <row r="132" spans="13:22" x14ac:dyDescent="0.3">
      <c r="V132" s="51"/>
    </row>
    <row r="133" spans="13:22" x14ac:dyDescent="0.3">
      <c r="V133" s="51"/>
    </row>
    <row r="134" spans="13:22" x14ac:dyDescent="0.3">
      <c r="V134" s="51"/>
    </row>
    <row r="135" spans="13:22" x14ac:dyDescent="0.3">
      <c r="V135" s="51"/>
    </row>
    <row r="136" spans="13:22" x14ac:dyDescent="0.3">
      <c r="V136" s="51"/>
    </row>
    <row r="137" spans="13:22" x14ac:dyDescent="0.3">
      <c r="V137" s="51"/>
    </row>
    <row r="138" spans="13:22" x14ac:dyDescent="0.3">
      <c r="V138" s="51"/>
    </row>
    <row r="139" spans="13:22" x14ac:dyDescent="0.3">
      <c r="V139" s="51"/>
    </row>
    <row r="140" spans="13:22" x14ac:dyDescent="0.3">
      <c r="V140" s="51"/>
    </row>
    <row r="141" spans="13:22" x14ac:dyDescent="0.3">
      <c r="V141" s="51"/>
    </row>
    <row r="142" spans="13:22" x14ac:dyDescent="0.3">
      <c r="V142" s="51"/>
    </row>
    <row r="143" spans="13:22" x14ac:dyDescent="0.3">
      <c r="V143" s="51"/>
    </row>
    <row r="144" spans="13:22" x14ac:dyDescent="0.3">
      <c r="V144" s="51"/>
    </row>
    <row r="145" spans="13:22" x14ac:dyDescent="0.3">
      <c r="V145" s="51"/>
    </row>
    <row r="146" spans="13:22" x14ac:dyDescent="0.3">
      <c r="V146" s="51"/>
    </row>
    <row r="147" spans="22:22" x14ac:dyDescent="0.3">
      <c r="V147" s="51"/>
    </row>
    <row r="148" spans="22:22" x14ac:dyDescent="0.3">
      <c r="V148" s="51"/>
    </row>
    <row r="149" spans="22:22" x14ac:dyDescent="0.3">
      <c r="V149" s="51"/>
    </row>
    <row r="150" spans="22:22" x14ac:dyDescent="0.3">
      <c r="V150" s="51"/>
    </row>
    <row r="151" spans="22:22" x14ac:dyDescent="0.3">
      <c r="V151" s="51"/>
    </row>
    <row r="152" spans="22:22" x14ac:dyDescent="0.3">
      <c r="V152" s="51"/>
    </row>
    <row r="153" spans="22:22" x14ac:dyDescent="0.3">
      <c r="V153" s="51"/>
    </row>
    <row r="154" spans="22:22" x14ac:dyDescent="0.3">
      <c r="V154" s="51"/>
    </row>
    <row r="155" spans="22:22" x14ac:dyDescent="0.3">
      <c r="V155" s="51"/>
    </row>
    <row r="156" spans="22:22" x14ac:dyDescent="0.3">
      <c r="V156" s="51"/>
    </row>
    <row r="157" spans="22:22" x14ac:dyDescent="0.3">
      <c r="V157" s="51"/>
    </row>
    <row r="158" spans="22:22" x14ac:dyDescent="0.3">
      <c r="V158" s="51"/>
    </row>
    <row r="159" spans="22:22" x14ac:dyDescent="0.3">
      <c r="V159" s="51"/>
    </row>
    <row r="160" spans="22:22" x14ac:dyDescent="0.3">
      <c r="V160" s="51"/>
    </row>
    <row r="161" spans="22:22" x14ac:dyDescent="0.3">
      <c r="V161" s="51"/>
    </row>
    <row r="162" spans="22:22" x14ac:dyDescent="0.3">
      <c r="V162" s="51"/>
    </row>
  </sheetData>
  <mergeCells count="70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93:E93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88:N88"/>
    <mergeCell ref="D121:E121"/>
    <mergeCell ref="D122:E122"/>
    <mergeCell ref="D102:E102"/>
    <mergeCell ref="M119:U119"/>
    <mergeCell ref="R117:S117"/>
    <mergeCell ref="D118:E118"/>
    <mergeCell ref="P117:Q117"/>
    <mergeCell ref="T117:U117"/>
    <mergeCell ref="D110:E110"/>
    <mergeCell ref="D116:E116"/>
    <mergeCell ref="D103:E103"/>
    <mergeCell ref="D115:E115"/>
    <mergeCell ref="D104:E104"/>
    <mergeCell ref="D114:E114"/>
    <mergeCell ref="T126:U126"/>
    <mergeCell ref="R124:S124"/>
    <mergeCell ref="R125:S125"/>
    <mergeCell ref="R121:S121"/>
    <mergeCell ref="R123:S123"/>
    <mergeCell ref="R122:S122"/>
    <mergeCell ref="T125:U125"/>
    <mergeCell ref="D120:E120"/>
    <mergeCell ref="D119:E119"/>
    <mergeCell ref="M117:O117"/>
    <mergeCell ref="D94:E94"/>
    <mergeCell ref="D96:E96"/>
    <mergeCell ref="M115:N115"/>
    <mergeCell ref="D98:E98"/>
    <mergeCell ref="D99:E99"/>
    <mergeCell ref="D97:E97"/>
    <mergeCell ref="D95:E95"/>
    <mergeCell ref="D101:E101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