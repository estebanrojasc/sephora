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"/>
    </mc:Choice>
  </mc:AlternateContent>
  <xr:revisionPtr revIDLastSave="0" documentId="8_{4A95DEED-F1CE-4652-8B21-F548273E9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<sst xmlns="http://schemas.openxmlformats.org/spreadsheetml/2006/main" count="219" uniqueCount="91">
  <si>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</si>
  <si>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</si>
  <si>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</si>
  <si>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</si>
  <si>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</si>
  <si>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</si>
  <si>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</si>
  <si>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</si>
  <si>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</si>
  <si>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</si>
  <si>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</si>
  <si>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</si>
  <si>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</si>
  <si>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</si>
  <si>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</si>
  <si>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</si>
  <si>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</si>
  <si>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</si>
  <si>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</si>
  <si>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</si>
  <si>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</si>
  <si>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</si>
  <si>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</si>
  <si>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</si>
  <si>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</si>
  <si>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</si>
  <si>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</si>
  <si>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</si>
  <si>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</si>
  <si>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</si>
  <si>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</si>
  <si>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</si>
  <si>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</si>
  <si>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</si>
  <si>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</si>
  <si>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</si>
  <si>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</si>
  <si>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</si>
  <si>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</si>
  <si>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</si>
  <si>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</si>
  <si>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</si>
  <si>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</si>
  <si>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</si>
  <si>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</si>
  <si>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</si>
  <si>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</si>
  <si>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</si>
  <si>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</si>
  <si>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</si>
  <si>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</si>
  <si>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</si>
  <si>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</si>
  <si>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</si>
  <si>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</si>
  <si>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</si>
  <si>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</si>
  <si>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</si>
  <si>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</si>
  <si>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</si>
  <si>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</si>
  <si>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</si>
  <si>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</si>
  <si>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SILVIA CHOQUE</t>
  </si>
  <si>
    <t>{{extraction.fecha.valor}}</t>
  </si>
  <si>
    <t>{{extraction.rendicion.efectivo_total.valor}}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</si>
  <si>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</si>
  <si>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</si>
  <si>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</si>
  <si>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</si>
  <si>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</si>
  <si>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</si>
  <si>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</si>
  <si>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</si>
  <si>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</si>
  <si>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</si>
  <si>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</si>
  <si>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{{extraction.auxiliar.valor}}</t>
  </si>
  <si>
    <t>{{extraction.conductor.valor}}</t>
  </si>
  <si>
    <t>{{extraction.cant_fact.valor}}</t>
  </si>
  <si>
    <t>{{extraction.n_recorrido.valor}}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</si>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</sst>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8" formatCode="_ &quot;$&quot;* #,##0_ ;_ &quot;$&quot;* \-#,##0_ ;_ &quot;$&quot;* &quot;-&quot;??_ ;_ @_ "/>
    <numFmt numFmtId="169" formatCode="dd/mm/yy;@"/>
    <numFmt numFmtId="170" formatCode="#,##0_ ;\-#,##0\ "/>
    <numFmt numFmtId="172" formatCode="[$-F800]dddd\,\ mmmm\ dd\,\ yyyy"/>
    <numFmt numFmtId="173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9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8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8" fontId="0" fillId="0" borderId="0" xfId="0" applyNumberFormat="1"/>
    <xf numFmtId="0" fontId="14" fillId="0" borderId="0" xfId="0" applyFont="1"/>
    <xf numFmtId="169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8" fontId="9" fillId="0" borderId="29" xfId="1" applyNumberFormat="1" applyFont="1" applyFill="1" applyBorder="1" applyAlignment="1">
      <alignment vertical="center"/>
    </xf>
    <xf numFmtId="170" fontId="4" fillId="0" borderId="17" xfId="0" applyNumberFormat="1" applyFont="1" applyBorder="1" applyAlignment="1">
      <alignment vertical="center"/>
    </xf>
    <xf numFmtId="168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8" fontId="0" fillId="0" borderId="0" xfId="1" applyNumberFormat="1" applyFont="1" applyFill="1" applyBorder="1"/>
    <xf numFmtId="168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70" fontId="4" fillId="0" borderId="21" xfId="0" applyNumberFormat="1" applyFont="1" applyBorder="1" applyAlignment="1">
      <alignment vertical="center"/>
    </xf>
    <xf numFmtId="168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8" fontId="3" fillId="0" borderId="21" xfId="1" applyNumberFormat="1" applyFont="1" applyFill="1" applyBorder="1"/>
    <xf numFmtId="168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8" fontId="18" fillId="0" borderId="5" xfId="1" applyNumberFormat="1" applyFont="1" applyFill="1" applyBorder="1" applyAlignment="1">
      <alignment vertical="center"/>
    </xf>
    <xf numFmtId="168" fontId="18" fillId="0" borderId="27" xfId="1" applyNumberFormat="1" applyFont="1" applyFill="1" applyBorder="1" applyAlignment="1">
      <alignment vertical="center"/>
    </xf>
    <xf numFmtId="168" fontId="3" fillId="0" borderId="31" xfId="1" applyNumberFormat="1" applyFont="1" applyFill="1" applyBorder="1"/>
    <xf numFmtId="168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3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9" fontId="6" fillId="0" borderId="17" xfId="0" applyNumberFormat="1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 vertical="center"/>
    </xf>
    <xf numFmtId="169" fontId="6" fillId="0" borderId="18" xfId="0" applyNumberFormat="1" applyFont="1" applyBorder="1" applyAlignment="1">
      <alignment horizontal="center" vertical="center"/>
    </xf>
    <xf numFmtId="168" fontId="18" fillId="0" borderId="19" xfId="1" applyNumberFormat="1" applyFont="1" applyFill="1" applyBorder="1" applyAlignment="1">
      <alignment vertical="center"/>
    </xf>
    <xf numFmtId="168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70" fontId="4" fillId="5" borderId="21" xfId="0" applyNumberFormat="1" applyFont="1" applyFill="1" applyBorder="1" applyAlignment="1">
      <alignment vertical="center"/>
    </xf>
    <xf numFmtId="168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9" fontId="6" fillId="0" borderId="3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8" fontId="18" fillId="5" borderId="0" xfId="1" applyNumberFormat="1" applyFont="1" applyFill="1" applyBorder="1" applyAlignment="1">
      <alignment horizontal="center" vertical="center"/>
    </xf>
    <xf numFmtId="168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4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left"/>
    </xf>
    <xf numFmtId="169" fontId="6" fillId="0" borderId="28" xfId="0" applyNumberFormat="1" applyFont="1" applyBorder="1" applyAlignment="1">
      <alignment horizontal="center" vertical="center"/>
    </xf>
    <xf numFmtId="169" fontId="6" fillId="0" borderId="3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9" fontId="6" fillId="0" borderId="29" xfId="0" applyNumberFormat="1" applyFont="1" applyBorder="1" applyAlignment="1">
      <alignment horizontal="center" vertical="center"/>
    </xf>
    <xf numFmtId="169" fontId="6" fillId="0" borderId="30" xfId="0" applyNumberFormat="1" applyFont="1" applyBorder="1" applyAlignment="1">
      <alignment horizontal="center" vertical="center"/>
    </xf>
    <xf numFmtId="42" fontId="6" fillId="0" borderId="0" xfId="2" applyFont="1" applyBorder="1" applyAlignment="1"/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2" fontId="7" fillId="0" borderId="7" xfId="0" applyNumberFormat="1" applyFont="1" applyBorder="1" applyAlignment="1">
      <alignment horizontal="center" vertical="center"/>
    </xf>
    <xf numFmtId="172" fontId="7" fillId="0" borderId="8" xfId="0" applyNumberFormat="1" applyFont="1" applyBorder="1" applyAlignment="1">
      <alignment horizontal="center" vertical="center"/>
    </xf>
    <xf numFmtId="172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"/>
  <sheetViews>
    <sheetView tabSelected="1" topLeftCell="A15" zoomScale="85" zoomScaleNormal="85" workbookViewId="0">
      <pane xSplit="1" topLeftCell="N1" activePane="topRight" state="frozenSplit"/>
      <selection activeCell="A49" sqref="A49"/>
      <selection pane="topRight" activeCell="T38" sqref="T38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JUAN PEREZ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/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5017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>
        <v>10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43.2" x14ac:dyDescent="0.3">
      <c r="A7" s="127" t="s">
        <v>2</v>
      </c>
      <c r="B7" s="155">
        <v>1000000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19"/>
      <c r="C9" s="110"/>
      <c r="D9" s="110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19"/>
      <c r="C10" s="110"/>
      <c r="D10" s="110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19"/>
      <c r="C11" s="110"/>
      <c r="D11" s="119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19"/>
      <c r="C12" s="110"/>
      <c r="D12" s="119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19"/>
      <c r="C13" s="110"/>
      <c r="D13" s="119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19"/>
      <c r="C14" s="110"/>
      <c r="D14" s="119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19"/>
      <c r="C15" s="110"/>
      <c r="D15" s="119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19"/>
      <c r="C16" s="110"/>
      <c r="D16" s="119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19"/>
      <c r="C17" s="110"/>
      <c r="D17" s="119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 t="shared" ref="B18:O18" si="0">SUM(B9:B17)</f>
        <v>0</v>
      </c>
      <c r="C18" s="119">
        <f t="shared" si="0"/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229" t="s">
        <v>48</v>
      </c>
      <c r="N22" s="229"/>
      <c r="O22" s="229"/>
      <c r="P22" s="229"/>
      <c r="Q22" s="229"/>
      <c r="R22" s="229"/>
      <c r="S22" s="229"/>
      <c r="T22" s="229"/>
      <c r="U22" s="229"/>
    </row>
    <row r="23" spans="1:23" ht="16.2" thickBot="1" x14ac:dyDescent="0.35">
      <c r="D23" s="6"/>
      <c r="J23"/>
      <c r="L23"/>
      <c r="M23" s="14" t="s">
        <v>13</v>
      </c>
      <c r="N23" s="217" t="inlineStr">
        <is>
          <t xml:space="preserve">24/06/26</t>
        </is>
      </c>
      <c r="O23" s="218"/>
      <c r="P23" s="218"/>
      <c r="Q23" s="218"/>
      <c r="R23" s="218"/>
      <c r="S23" s="219"/>
      <c r="T23" s="142" t="s">
        <v>38</v>
      </c>
      <c r="U23" s="115" t="e">
        <f>B6+C6+D6+E6+F6+G6+H6+I6+J6+K6+L6+M6+N6+O6+P6+Q6+R6+S6+T6+U6+V6+W6+#REF!+#REF!+#REF!+#REF!+#REF!+#REF!+#REF!+#REF!+#REF!+#REF!</f>
        <v>#VALUE!</v>
      </c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20" t="s">
        <v>49</v>
      </c>
      <c r="O24" s="221"/>
      <c r="P24" s="221"/>
      <c r="Q24" s="221"/>
      <c r="R24" s="221"/>
      <c r="S24" s="222"/>
      <c r="T24" s="117" t="s">
        <v>11</v>
      </c>
      <c r="U24" s="116" t="e">
        <f>B7+C7+D7+E7+F7+G7+H7+I7+J7+K7+L7+M7+N7+O7+P7+Q7+R7+S7+T7+U7+V7+W7+#REF!+#REF!+#REF!+#REF!+#REF!+#REF!+#REF!+#REF!+#REF!+#REF!</f>
        <v>#VALUE!</v>
      </c>
      <c r="W24" s="141" t="e">
        <f>U23</f>
        <v>#VALUE!</v>
      </c>
    </row>
    <row r="25" spans="1:23" x14ac:dyDescent="0.3">
      <c r="B25" s="2"/>
      <c r="C25" s="111"/>
      <c r="D25" s="3" t="s">
        <v>15</v>
      </c>
      <c r="E25" s="4"/>
      <c r="J25"/>
      <c r="L25"/>
      <c r="M25" s="223" t="s">
        <v>16</v>
      </c>
      <c r="N25" s="224"/>
      <c r="O25" s="225"/>
      <c r="P25" s="226"/>
      <c r="Q25" s="201">
        <v>100000</v>
      </c>
      <c r="R25" s="202"/>
      <c r="S25" s="203"/>
      <c r="T25" s="227" t="s">
        <v>17</v>
      </c>
      <c r="U25" s="228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201" t="e">
        <f>B10+C10+D10+E10+F10+G10+H10+I10+J10+K10+L10+N10+O10+P10+Q10+R10+S10+T10+U10+V10+W10+#REF!+#REF!</f>
        <v>#REF!</v>
      </c>
      <c r="R26" s="202"/>
      <c r="S26" s="203"/>
      <c r="T26" s="149"/>
      <c r="U26" s="150"/>
      <c r="V26" s="13"/>
      <c r="W26" s="86"/>
    </row>
    <row r="27" spans="1:23" x14ac:dyDescent="0.3">
      <c r="I27" s="118" t="str">
        <f>B1</f>
      </c>
      <c r="J27" s="162">
        <f>B9</f>
        <v>0</v>
      </c>
      <c r="L27"/>
      <c r="M27" s="83" t="s">
        <v>18</v>
      </c>
      <c r="N27" s="84"/>
      <c r="O27" s="196"/>
      <c r="P27" s="197"/>
      <c r="Q27" s="201">
        <v>50000</v>
      </c>
      <c r="R27" s="202"/>
      <c r="S27" s="203"/>
      <c r="T27" s="215" t="s">
        <v>19</v>
      </c>
      <c r="U27" s="216"/>
      <c r="V27" s="19"/>
      <c r="W27" s="97" t="e">
        <f>U24</f>
        <v>#VALUE!</v>
      </c>
    </row>
    <row r="28" spans="1:23" x14ac:dyDescent="0.3">
      <c r="I28" s="118">
        <f>C1</f>
        <v>0</v>
      </c>
      <c r="J28" s="162">
        <f>C9</f>
        <v>0</v>
      </c>
      <c r="L28"/>
      <c r="M28" s="194" t="s">
        <v>20</v>
      </c>
      <c r="N28" s="195"/>
      <c r="O28" s="196"/>
      <c r="P28" s="197"/>
      <c r="Q28" s="201">
        <v>0</v>
      </c>
      <c r="R28" s="202"/>
      <c r="S28" s="203"/>
      <c r="T28" s="213" t="s">
        <v>39</v>
      </c>
      <c r="U28" s="214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94" t="s">
        <v>21</v>
      </c>
      <c r="N29" s="195"/>
      <c r="O29" s="196"/>
      <c r="P29" s="197"/>
      <c r="Q29" s="201">
        <v>300000</v>
      </c>
      <c r="R29" s="202"/>
      <c r="S29" s="203"/>
      <c r="T29" s="209" t="s">
        <v>40</v>
      </c>
      <c r="U29" s="210"/>
      <c r="W29" s="98" t="e">
        <f>U23</f>
        <v>#VALUE!</v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94" t="s">
        <v>22</v>
      </c>
      <c r="N30" s="195"/>
      <c r="O30" s="196"/>
      <c r="P30" s="208"/>
      <c r="Q30" s="201">
        <v>0</v>
      </c>
      <c r="R30" s="202"/>
      <c r="S30" s="203"/>
      <c r="T30" s="211" t="s">
        <v>41</v>
      </c>
      <c r="U30" s="212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94" t="s">
        <v>23</v>
      </c>
      <c r="N31" s="195"/>
      <c r="O31" s="196"/>
      <c r="P31" s="197"/>
      <c r="Q31" s="201">
        <v>0</v>
      </c>
      <c r="R31" s="202"/>
      <c r="S31" s="20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94" t="s">
        <v>24</v>
      </c>
      <c r="N32" s="195"/>
      <c r="O32" s="196"/>
      <c r="P32" s="197"/>
      <c r="Q32" s="201">
        <v>0</v>
      </c>
      <c r="R32" s="202"/>
      <c r="S32" s="20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96"/>
      <c r="P33" s="197"/>
      <c r="Q33" s="201">
        <v>200000</v>
      </c>
      <c r="R33" s="202"/>
      <c r="S33" s="20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201">
        <v>1000000</v>
      </c>
      <c r="R34" s="202"/>
      <c r="S34" s="20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198" t="s">
        <v>27</v>
      </c>
      <c r="N35" s="199"/>
      <c r="O35" s="200"/>
      <c r="P35" s="184" t="s">
        <v>28</v>
      </c>
      <c r="Q35" s="186"/>
      <c r="R35" s="184" t="s">
        <v>29</v>
      </c>
      <c r="S35" s="186"/>
      <c r="T35" s="184" t="s">
        <v>30</v>
      </c>
      <c r="U35" s="186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182" t="s">
        <v>42</v>
      </c>
      <c r="N38" s="183"/>
      <c r="O38" s="46">
        <v>50000</v>
      </c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191"/>
      <c r="E43" s="19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191"/>
      <c r="E44" s="19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191"/>
      <c r="E45" s="19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191"/>
      <c r="E46" s="19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191"/>
      <c r="E47" s="19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191"/>
      <c r="E48" s="19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191"/>
      <c r="E49" s="19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176"/>
      <c r="E51" s="176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179"/>
      <c r="E52" s="179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175"/>
      <c r="E53" s="175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175"/>
      <c r="E54" s="175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175"/>
      <c r="E60" s="175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175"/>
      <c r="E64" s="175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175"/>
      <c r="E65" s="175"/>
      <c r="F65" s="20"/>
      <c r="G65" s="1"/>
      <c r="H65" s="50"/>
      <c r="I65" s="54"/>
      <c r="J65" s="57"/>
      <c r="L65"/>
      <c r="M65" s="182" t="s">
        <v>34</v>
      </c>
      <c r="N65" s="183"/>
      <c r="O65" s="46">
        <v>0</v>
      </c>
      <c r="P65" s="56" t="s">
        <v>11</v>
      </c>
      <c r="Q65" s="46">
        <v>0</v>
      </c>
      <c r="R65" s="56" t="s">
        <v>11</v>
      </c>
      <c r="S65" s="46">
        <v>0</v>
      </c>
      <c r="T65" s="56" t="s">
        <v>11</v>
      </c>
      <c r="U65" s="46">
        <v>0</v>
      </c>
    </row>
    <row r="66" spans="1:23" ht="15" thickBot="1" x14ac:dyDescent="0.35">
      <c r="A66" s="25"/>
      <c r="B66"/>
      <c r="C66" s="95"/>
      <c r="D66" s="175"/>
      <c r="E66" s="175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84" t="s">
        <v>47</v>
      </c>
      <c r="N67" s="185"/>
      <c r="O67" s="186"/>
      <c r="P67" s="192"/>
      <c r="Q67" s="193"/>
      <c r="R67" s="184" t="s">
        <v>37</v>
      </c>
      <c r="S67" s="185"/>
      <c r="T67" s="187" t="str">
        <f>Q25</f>
      </c>
      <c r="U67" s="188"/>
    </row>
    <row r="68" spans="1:23" ht="15.75" customHeight="1" thickBot="1" x14ac:dyDescent="0.35">
      <c r="A68" s="25"/>
      <c r="B68"/>
      <c r="C68" s="25"/>
      <c r="D68" s="175"/>
      <c r="E68" s="175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175"/>
      <c r="E69" s="175"/>
      <c r="F69" s="67"/>
      <c r="G69" s="1"/>
      <c r="H69" s="50"/>
      <c r="I69" s="54"/>
      <c r="J69"/>
      <c r="L69"/>
      <c r="M69" s="182" t="s">
        <v>35</v>
      </c>
      <c r="N69" s="189"/>
      <c r="O69" s="189"/>
      <c r="P69" s="189"/>
      <c r="Q69" s="189"/>
      <c r="R69" s="189"/>
      <c r="S69" s="189"/>
      <c r="T69" s="189"/>
      <c r="U69" s="190"/>
      <c r="V69" s="55"/>
    </row>
    <row r="70" spans="1:23" ht="15" thickBot="1" x14ac:dyDescent="0.35">
      <c r="A70" s="25"/>
      <c r="B70" s="20"/>
      <c r="C70" s="25"/>
      <c r="D70" s="175"/>
      <c r="E70" s="175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175"/>
      <c r="E71" s="175"/>
      <c r="F71" s="67"/>
      <c r="G71" s="1"/>
      <c r="H71" s="50"/>
      <c r="I71" s="54"/>
      <c r="J71" s="23"/>
      <c r="L71"/>
      <c r="M71" s="63" t="inlineStr">
        <is>
          <t xml:space="preserve">CRED 1</t>
        </is>
      </c>
      <c r="P71" s="66" t="inlineStr">
        <is>
          <t xml:space="preserve">200000</t>
        </is>
      </c>
      <c r="S71" s="180"/>
      <c r="T71" s="159">
        <v>5000</v>
      </c>
      <c r="U71" s="160"/>
      <c r="V71" s="55" t="inlineStr">
        <is>
          <t xml:space="preserve">10</t>
        </is>
      </c>
    </row>
    <row r="72" spans="1:23" ht="15.6" x14ac:dyDescent="0.3">
      <c r="B72" s="130"/>
      <c r="C72" s="23"/>
      <c r="D72" s="175"/>
      <c r="E72" s="175"/>
      <c r="F72" s="67"/>
      <c r="G72" s="1"/>
      <c r="H72" s="50"/>
      <c r="I72" s="54"/>
      <c r="J72" s="23"/>
      <c r="L72"/>
      <c r="M72" s="89" t="inlineStr">
        <is>
          <t xml:space="preserve">CRED 2</t>
        </is>
      </c>
      <c r="P72" s="91" t="inlineStr">
        <is>
          <t xml:space="preserve">200001</t>
        </is>
      </c>
      <c r="S72" s="174"/>
      <c r="T72" s="69">
        <v>10000</v>
      </c>
      <c r="U72" s="100"/>
      <c r="V72" s="55" t="inlineStr">
        <is>
          <t xml:space="preserve">11</t>
        </is>
      </c>
    </row>
    <row r="73" spans="1:23" ht="15.6" x14ac:dyDescent="0.3">
      <c r="B73" s="130"/>
      <c r="C73" s="25"/>
      <c r="D73" s="175"/>
      <c r="E73" s="175"/>
      <c r="F73" s="67"/>
      <c r="G73" s="1"/>
      <c r="H73" s="50"/>
      <c r="I73" s="54"/>
      <c r="J73" s="23"/>
      <c r="L73"/>
      <c r="M73" s="89" t="inlineStr">
        <is>
          <t xml:space="preserve">CRED 3</t>
        </is>
      </c>
      <c r="P73" s="91" t="inlineStr">
        <is>
          <t xml:space="preserve">200002</t>
        </is>
      </c>
      <c r="S73" s="174"/>
      <c r="T73" s="69">
        <v>15000</v>
      </c>
      <c r="U73" s="100"/>
      <c r="V73" s="55" t="inlineStr">
        <is>
          <t xml:space="preserve">12</t>
        </is>
      </c>
    </row>
    <row r="74" spans="1:23" ht="15.6" x14ac:dyDescent="0.3">
      <c r="B74" s="130"/>
      <c r="C74" s="23"/>
      <c r="D74" s="175"/>
      <c r="E74" s="175"/>
      <c r="F74" s="67"/>
      <c r="G74" s="1"/>
      <c r="H74" s="50"/>
      <c r="I74" s="54"/>
      <c r="J74" s="23"/>
      <c r="L74"/>
      <c r="M74" s="89" t="inlineStr">
        <is>
          <t xml:space="preserve">CRED 4</t>
        </is>
      </c>
      <c r="P74" s="91" t="inlineStr">
        <is>
          <t xml:space="preserve">200003</t>
        </is>
      </c>
      <c r="S74" s="174"/>
      <c r="T74" s="69">
        <v>20000</v>
      </c>
      <c r="U74" s="100"/>
      <c r="V74" s="55" t="inlineStr">
        <is>
          <t xml:space="preserve">13</t>
        </is>
      </c>
    </row>
    <row r="75" spans="1:23" ht="15.6" x14ac:dyDescent="0.3">
      <c r="B75" s="130"/>
      <c r="C75" s="23"/>
      <c r="D75" s="175"/>
      <c r="E75" s="175"/>
      <c r="F75" s="67"/>
      <c r="G75" s="1"/>
      <c r="H75" s="50"/>
      <c r="I75" s="54"/>
      <c r="J75" s="23"/>
      <c r="L75"/>
      <c r="M75" s="89" t="inlineStr">
        <is>
          <t xml:space="preserve">CRED 5</t>
        </is>
      </c>
      <c r="P75" s="91" t="inlineStr">
        <is>
          <t xml:space="preserve">200004</t>
        </is>
      </c>
      <c r="S75" s="174"/>
      <c r="T75" s="69">
        <v>25000</v>
      </c>
      <c r="U75" s="100"/>
      <c r="V75" s="55" t="inlineStr">
        <is>
          <t xml:space="preserve">14</t>
        </is>
      </c>
    </row>
    <row r="76" spans="1:23" ht="15.6" x14ac:dyDescent="0.3">
      <c r="B76" s="130"/>
      <c r="C76" s="25"/>
      <c r="D76" s="175"/>
      <c r="E76" s="175"/>
      <c r="F76" s="67"/>
      <c r="G76" s="1"/>
      <c r="H76" s="50"/>
      <c r="I76" s="54"/>
      <c r="J76" s="23"/>
      <c r="L76"/>
      <c r="M76" s="89" t="inlineStr">
        <is>
          <t xml:space="preserve">CRED 6</t>
        </is>
      </c>
      <c r="P76" s="91" t="inlineStr">
        <is>
          <t xml:space="preserve">200005</t>
        </is>
      </c>
      <c r="S76" s="174"/>
      <c r="T76" s="69">
        <v>30000</v>
      </c>
      <c r="U76" s="100"/>
      <c r="V76" s="55" t="inlineStr">
        <is>
          <t xml:space="preserve">15</t>
        </is>
      </c>
    </row>
    <row r="77" spans="1:23" ht="15.6" x14ac:dyDescent="0.3">
      <c r="A77" s="25"/>
      <c r="B77" s="130"/>
      <c r="C77" s="25"/>
      <c r="D77" s="175"/>
      <c r="E77" s="175"/>
      <c r="F77" s="67"/>
      <c r="G77" s="1"/>
      <c r="H77" s="50"/>
      <c r="J77" s="23"/>
      <c r="L77"/>
      <c r="M77" s="89" t="inlineStr">
        <is>
          <t xml:space="preserve">CRED 7</t>
        </is>
      </c>
      <c r="P77" s="91" t="inlineStr">
        <is>
          <t xml:space="preserve">200006</t>
        </is>
      </c>
      <c r="S77" s="174"/>
      <c r="T77" s="69">
        <v>35000</v>
      </c>
      <c r="U77" s="100"/>
      <c r="V77" s="55" t="inlineStr">
        <is>
          <t xml:space="preserve">16</t>
        </is>
      </c>
    </row>
    <row r="78" spans="1:23" ht="15.6" x14ac:dyDescent="0.3">
      <c r="A78" s="20"/>
      <c r="B78" s="130"/>
      <c r="C78" s="25"/>
      <c r="D78" s="175"/>
      <c r="E78" s="175"/>
      <c r="F78" s="67"/>
      <c r="G78" s="1"/>
      <c r="H78" s="50"/>
      <c r="J78" s="23"/>
      <c r="L78"/>
      <c r="M78" s="89" t="inlineStr">
        <is>
          <t xml:space="preserve">CRED 8</t>
        </is>
      </c>
      <c r="P78" s="91" t="inlineStr">
        <is>
          <t xml:space="preserve">200007</t>
        </is>
      </c>
      <c r="S78" s="174"/>
      <c r="T78" s="69">
        <v>40000</v>
      </c>
      <c r="U78" s="100"/>
      <c r="V78" s="55" t="inlineStr">
        <is>
          <t xml:space="preserve">17</t>
        </is>
      </c>
    </row>
    <row r="79" spans="1:23" ht="15.6" x14ac:dyDescent="0.3">
      <c r="A79" s="53"/>
      <c r="B79" s="130"/>
      <c r="C79" s="94"/>
      <c r="D79" s="175"/>
      <c r="E79" s="175"/>
      <c r="F79" s="67"/>
      <c r="G79" s="1"/>
      <c r="H79" s="50"/>
      <c r="J79" s="23"/>
      <c r="L79"/>
      <c r="M79" s="89" t="inlineStr">
        <is>
          <t xml:space="preserve">CRED 9</t>
        </is>
      </c>
      <c r="P79" s="91" t="inlineStr">
        <is>
          <t xml:space="preserve">200008</t>
        </is>
      </c>
      <c r="S79" s="174"/>
      <c r="T79" s="69">
        <v>45000</v>
      </c>
      <c r="U79" s="100"/>
      <c r="V79" s="55" t="inlineStr">
        <is>
          <t xml:space="preserve">18</t>
        </is>
      </c>
    </row>
    <row r="80" spans="1:23" ht="15.6" x14ac:dyDescent="0.3">
      <c r="A80" s="53"/>
      <c r="B80" s="130"/>
      <c r="C80" s="94"/>
      <c r="D80" s="23"/>
      <c r="E80" s="25"/>
      <c r="F80" s="67"/>
      <c r="H80" s="130"/>
      <c r="I80" s="25"/>
      <c r="K80" s="31"/>
      <c r="M80" s="89" t="inlineStr">
        <is>
          <t xml:space="preserve">CRED 10</t>
        </is>
      </c>
      <c r="P80" s="91" t="inlineStr">
        <is>
          <t xml:space="preserve">200009</t>
        </is>
      </c>
      <c r="S80" s="174"/>
      <c r="T80" s="69">
        <v>50000</v>
      </c>
      <c r="U80" s="100"/>
      <c r="V80" s="55" t="inlineStr">
        <is>
          <t xml:space="preserve">19</t>
        </is>
      </c>
    </row>
    <row r="81" spans="1:23" ht="15.6" x14ac:dyDescent="0.3">
      <c r="B81" s="130"/>
      <c r="C81" s="23"/>
      <c r="D81" s="175"/>
      <c r="E81" s="175"/>
      <c r="F81" s="67"/>
      <c r="G81" s="1"/>
      <c r="H81" s="50"/>
      <c r="I81" s="54"/>
      <c r="J81" s="23"/>
      <c r="L81"/>
      <c r="M81" s="89" t="inlineStr">
        <is>
          <t xml:space="preserve">CRED 11</t>
        </is>
      </c>
      <c r="P81" s="91" t="inlineStr">
        <is>
          <t xml:space="preserve">200010</t>
        </is>
      </c>
      <c r="S81" s="174"/>
      <c r="T81" s="69">
        <v>55000</v>
      </c>
      <c r="U81" s="100"/>
      <c r="V81" s="55" t="inlineStr">
        <is>
          <t xml:space="preserve">20</t>
        </is>
      </c>
    </row>
    <row r="82" spans="1:23" ht="15.6" x14ac:dyDescent="0.3">
      <c r="B82" s="130"/>
      <c r="C82" s="23"/>
      <c r="D82" s="175"/>
      <c r="E82" s="175"/>
      <c r="F82" s="67"/>
      <c r="G82" s="1"/>
      <c r="H82" s="50"/>
      <c r="I82" s="54"/>
      <c r="J82" s="23"/>
      <c r="L82"/>
      <c r="M82" s="89" t="inlineStr">
        <is>
          <t xml:space="preserve">CRED 12</t>
        </is>
      </c>
      <c r="P82" s="91" t="inlineStr">
        <is>
          <t xml:space="preserve">200011</t>
        </is>
      </c>
      <c r="S82" s="174"/>
      <c r="T82" s="69">
        <v>60000</v>
      </c>
      <c r="U82" s="100"/>
      <c r="V82" s="55" t="inlineStr">
        <is>
          <t xml:space="preserve">21</t>
        </is>
      </c>
    </row>
    <row r="83" spans="1:22" ht="15.6" x14ac:dyDescent="0.3">
      <c r="B83" s="55"/>
      <c r="C83" s="94"/>
      <c r="D83" s="175"/>
      <c r="E83" s="175"/>
      <c r="F83" s="67"/>
      <c r="I83" s="130"/>
      <c r="L83"/>
      <c r="M83" s="89"/>
      <c r="N83" s="90"/>
      <c r="O83" s="18"/>
      <c r="P83" s="91"/>
      <c r="Q83" s="60"/>
      <c r="R83" s="174"/>
      <c r="S83" s="174"/>
      <c r="T83" s="69"/>
      <c r="U83" s="100"/>
      <c r="V83" s="55"/>
    </row>
    <row r="84" spans="1:22" ht="15.6" x14ac:dyDescent="0.3">
      <c r="A84" s="53"/>
      <c r="B84" s="94"/>
      <c r="C84" s="94"/>
      <c r="D84" s="23"/>
      <c r="E84" s="25"/>
      <c r="F84" s="67"/>
      <c r="I84" s="130"/>
      <c r="L84" s="49" t="inlineStr">
        <is>
          <t xml:space="preserve">5017</t>
        </is>
      </c>
      <c r="M84" s="89" t="inlineStr">
        <is>
          <t xml:space="preserve">CLIENTE 1</t>
        </is>
      </c>
      <c r="N84" s="90"/>
      <c r="O84" s="18" t="s">
        <v>43</v>
      </c>
      <c r="P84" s="91" t="inlineStr">
        <is>
          <t xml:space="preserve">100000</t>
        </is>
      </c>
      <c r="S84" s="174"/>
      <c r="T84" s="69">
        <v>10000</v>
      </c>
      <c r="U84" s="100"/>
      <c r="V84" s="55"/>
    </row>
    <row r="85" spans="1:22" ht="15.6" x14ac:dyDescent="0.3">
      <c r="A85" s="53"/>
      <c r="B85" s="94"/>
      <c r="D85" s="178"/>
      <c r="E85" s="179"/>
      <c r="F85" s="67"/>
      <c r="I85" s="130"/>
      <c r="L85" s="49"/>
      <c r="P85" s="91" t="inlineStr">
        <is>
          <t xml:space="preserve">100001</t>
        </is>
      </c>
      <c r="S85" s="174"/>
      <c r="T85" s="69">
        <v>20000</v>
      </c>
    </row>
    <row r="86" spans="1:22" ht="15.6" x14ac:dyDescent="0.3">
      <c r="A86" s="53"/>
      <c r="B86" s="94"/>
      <c r="D86" s="176"/>
      <c r="E86" s="176"/>
      <c r="F86" s="67"/>
      <c r="H86" s="130"/>
      <c r="I86" s="25"/>
      <c r="L86" s="49"/>
      <c r="P86" s="91" t="inlineStr">
        <is>
          <t xml:space="preserve">100002</t>
        </is>
      </c>
      <c r="S86" s="174"/>
      <c r="T86" s="69">
        <v>30000</v>
      </c>
    </row>
    <row r="87" spans="1:22" ht="15.6" x14ac:dyDescent="0.3">
      <c r="A87" s="53"/>
      <c r="B87" s="94"/>
      <c r="D87" s="176"/>
      <c r="E87" s="176"/>
      <c r="F87" s="67"/>
      <c r="H87" s="130"/>
      <c r="I87" s="25"/>
      <c r="L87" s="49"/>
      <c r="P87" s="91" t="inlineStr">
        <is>
          <t xml:space="preserve">100003</t>
        </is>
      </c>
      <c r="S87" s="174"/>
      <c r="T87" s="69">
        <v>40000</v>
      </c>
    </row>
    <row r="88" spans="1:22" ht="15.6" x14ac:dyDescent="0.3">
      <c r="A88" s="53"/>
      <c r="B88"/>
      <c r="D88" s="23"/>
      <c r="E88" s="25"/>
      <c r="F88" s="67"/>
      <c r="H88" s="55"/>
      <c r="I88" s="25"/>
      <c r="L88" s="49"/>
      <c r="P88" s="91" t="inlineStr">
        <is>
          <t xml:space="preserve">100004</t>
        </is>
      </c>
      <c r="S88" s="174"/>
      <c r="T88" s="69">
        <v>50000</v>
      </c>
    </row>
    <row r="89" spans="1:22" ht="15.6" x14ac:dyDescent="0.3">
      <c r="A89" s="23"/>
      <c r="B89"/>
      <c r="D89" s="94"/>
      <c r="E89" s="94"/>
      <c r="F89" s="23"/>
      <c r="H89" s="25"/>
      <c r="I89" s="25"/>
      <c r="L89" s="49"/>
      <c r="P89" s="91" t="inlineStr">
        <is>
          <t xml:space="preserve">100005</t>
        </is>
      </c>
      <c r="S89" s="174"/>
      <c r="T89" s="69">
        <v>60000</v>
      </c>
    </row>
    <row r="90" spans="1:22" ht="15.6" x14ac:dyDescent="0.3">
      <c r="A90" s="23"/>
      <c r="B90"/>
      <c r="D90" s="94"/>
      <c r="E90" s="94"/>
      <c r="F90" s="23"/>
      <c r="H90" s="25"/>
      <c r="L90" s="49"/>
      <c r="P90" s="91" t="inlineStr">
        <is>
          <t xml:space="preserve">100006</t>
        </is>
      </c>
      <c r="S90" s="174"/>
      <c r="T90" s="69">
        <v>70000</v>
      </c>
    </row>
    <row r="91" spans="1:22" ht="15.6" x14ac:dyDescent="0.3">
      <c r="A91" s="25"/>
      <c r="D91" s="94"/>
      <c r="E91" s="94"/>
      <c r="H91" s="25"/>
      <c r="L91" s="49"/>
      <c r="P91" s="91" t="inlineStr">
        <is>
          <t xml:space="preserve">100007</t>
        </is>
      </c>
      <c r="S91" s="174"/>
      <c r="T91" s="69">
        <v>80000</v>
      </c>
    </row>
    <row r="92" spans="1:22" ht="15.6" x14ac:dyDescent="0.3">
      <c r="A92" s="181"/>
      <c r="D92" s="94"/>
      <c r="E92" s="94"/>
      <c r="F92" s="20"/>
      <c r="H92" s="25"/>
      <c r="L92" s="49"/>
      <c r="P92" s="91" t="inlineStr">
        <is>
          <t xml:space="preserve">100008</t>
        </is>
      </c>
      <c r="S92" s="174"/>
      <c r="T92" s="69">
        <v>90000</v>
      </c>
    </row>
    <row r="93" spans="1:22" ht="15.6" x14ac:dyDescent="0.3">
      <c r="A93" s="181"/>
      <c r="L93" s="49"/>
      <c r="P93" s="91" t="inlineStr">
        <is>
          <t xml:space="preserve">100009</t>
        </is>
      </c>
      <c r="S93" s="174"/>
      <c r="T93" s="69">
        <v>100000</v>
      </c>
    </row>
    <row r="94" spans="1:22" ht="15.6" x14ac:dyDescent="0.3">
      <c r="A94" s="181"/>
      <c r="F94" s="23"/>
      <c r="L94" s="49"/>
      <c r="P94" s="91" t="inlineStr">
        <is>
          <t xml:space="preserve">100010</t>
        </is>
      </c>
      <c r="S94" s="174"/>
      <c r="T94" s="69">
        <v>110000</v>
      </c>
    </row>
    <row r="95" spans="1:22" ht="15.6" x14ac:dyDescent="0.3">
      <c r="A95" s="181"/>
      <c r="F95" s="23"/>
      <c r="L95" s="171"/>
      <c r="P95" s="91" t="inlineStr">
        <is>
          <t xml:space="preserve">100011</t>
        </is>
      </c>
      <c r="S95" s="174"/>
      <c r="T95" s="69">
        <v>120000</v>
      </c>
    </row>
    <row r="96" spans="1:22" ht="15.6" x14ac:dyDescent="0.3">
      <c r="L96" s="49"/>
      <c r="P96" s="91" t="inlineStr">
        <is>
          <t xml:space="preserve">100012</t>
        </is>
      </c>
      <c r="S96" s="174"/>
      <c r="T96" s="69">
        <v>130000</v>
      </c>
    </row>
    <row r="97" spans="1:22" ht="15.6" x14ac:dyDescent="0.3">
      <c r="L97" s="49"/>
      <c r="P97" s="91" t="inlineStr">
        <is>
          <t xml:space="preserve">100013</t>
        </is>
      </c>
      <c r="S97" s="174"/>
      <c r="T97" s="69">
        <v>140000</v>
      </c>
    </row>
    <row r="98" spans="1:22" ht="15.6" x14ac:dyDescent="0.3">
      <c r="L98" s="49"/>
      <c r="P98" s="91" t="inlineStr">
        <is>
          <t xml:space="preserve">100014</t>
        </is>
      </c>
      <c r="S98" s="174"/>
      <c r="T98" s="69">
        <v>150000</v>
      </c>
    </row>
    <row r="99" spans="12:22" ht="15.6" x14ac:dyDescent="0.3">
      <c r="L99" s="49"/>
      <c r="P99" s="91"/>
      <c r="S99" s="174"/>
      <c r="T99" s="69"/>
      <c r="U99" s="100"/>
      <c r="V99" s="55"/>
      <c r="M99" s="0"/>
    </row>
    <row r="100" spans="12:22" ht="15.6" x14ac:dyDescent="0.3">
      <c r="L100" s="49"/>
      <c r="P100" s="91"/>
      <c r="S100" s="174"/>
      <c r="T100" s="69"/>
      <c r="U100" s="100"/>
      <c r="V100" s="55"/>
      <c r="M100" s="0"/>
    </row>
    <row r="101" spans="12:22" ht="15.6" x14ac:dyDescent="0.3">
      <c r="L101" s="49"/>
      <c r="P101" s="91"/>
      <c r="S101" s="174"/>
      <c r="T101" s="69"/>
      <c r="U101" s="100"/>
      <c r="V101" s="55"/>
      <c r="M101" s="0"/>
    </row>
    <row r="102" spans="12:22" ht="15.6" x14ac:dyDescent="0.3">
      <c r="L102" s="49"/>
      <c r="P102" s="91"/>
      <c r="S102" s="174"/>
      <c r="T102" s="69"/>
      <c r="U102" s="100"/>
      <c r="V102" s="55"/>
      <c r="M102" s="0"/>
    </row>
    <row r="103" spans="12:22" ht="15.6" x14ac:dyDescent="0.3">
      <c r="L103" s="49"/>
      <c r="P103" s="91"/>
      <c r="S103" s="174"/>
      <c r="T103" s="69"/>
      <c r="U103" s="100"/>
      <c r="V103" s="55"/>
      <c r="M103" s="0"/>
    </row>
    <row r="104" spans="12:22" ht="15.6" x14ac:dyDescent="0.3">
      <c r="L104" s="49"/>
      <c r="P104" s="91"/>
      <c r="S104" s="174"/>
      <c r="T104" s="69"/>
      <c r="U104" s="100"/>
      <c r="V104" s="55"/>
      <c r="M104" s="0"/>
    </row>
    <row r="105" spans="12:22" ht="15.6" x14ac:dyDescent="0.3">
      <c r="L105" s="49"/>
      <c r="P105" s="91"/>
      <c r="S105" s="174"/>
      <c r="T105" s="69"/>
      <c r="U105" s="100"/>
      <c r="V105" s="55"/>
      <c r="M105" s="0"/>
    </row>
    <row r="106" spans="12:22" ht="15.6" x14ac:dyDescent="0.3">
      <c r="L106" s="49"/>
      <c r="P106" s="91"/>
      <c r="S106" s="174"/>
      <c r="T106" s="69"/>
      <c r="U106" s="100"/>
      <c r="V106" s="55"/>
      <c r="M106" s="0"/>
    </row>
    <row r="107" spans="12:22" ht="15.6" x14ac:dyDescent="0.3">
      <c r="L107" s="49"/>
      <c r="P107" s="91"/>
      <c r="S107" s="174"/>
      <c r="T107" s="69"/>
      <c r="U107" s="100"/>
      <c r="V107" s="55"/>
      <c r="M107" s="0"/>
    </row>
    <row r="108" spans="12:22" ht="15.6" x14ac:dyDescent="0.3">
      <c r="L108" s="49"/>
      <c r="P108" s="91"/>
      <c r="S108" s="174"/>
      <c r="T108" s="69"/>
      <c r="U108" s="100"/>
      <c r="V108" s="55"/>
      <c r="M108" s="0"/>
    </row>
    <row r="109" spans="12:22" ht="15.6" x14ac:dyDescent="0.3">
      <c r="L109" s="49"/>
      <c r="P109" s="91"/>
      <c r="S109" s="174"/>
      <c r="T109" s="69"/>
      <c r="U109" s="100"/>
      <c r="V109" s="55"/>
      <c r="M109" s="0"/>
    </row>
    <row r="110" spans="12:22" ht="15.6" x14ac:dyDescent="0.3">
      <c r="L110" s="49"/>
      <c r="P110" s="91"/>
      <c r="S110" s="174"/>
      <c r="T110" s="69"/>
      <c r="U110" s="100"/>
      <c r="V110" s="55"/>
      <c r="M110" s="0"/>
    </row>
    <row r="111" spans="12:22" ht="15.6" x14ac:dyDescent="0.3">
      <c r="L111" s="49"/>
      <c r="P111" s="91"/>
      <c r="S111" s="174"/>
      <c r="T111" s="69"/>
      <c r="U111" s="100"/>
      <c r="V111" s="55"/>
      <c r="M111" s="0"/>
    </row>
    <row r="112" spans="12:22" ht="15.6" x14ac:dyDescent="0.3">
      <c r="L112" s="49"/>
      <c r="P112" s="91"/>
      <c r="S112" s="174"/>
      <c r="T112" s="69"/>
      <c r="U112" s="100"/>
      <c r="V112" s="55"/>
      <c r="M112" s="0"/>
    </row>
    <row r="113" spans="12:22" ht="15.6" x14ac:dyDescent="0.3">
      <c r="L113" s="49"/>
      <c r="P113" s="91"/>
      <c r="S113" s="174"/>
      <c r="T113" s="69"/>
      <c r="U113" s="100"/>
      <c r="V113" s="55"/>
      <c r="M113" s="0"/>
    </row>
    <row r="114" spans="12:22" ht="15.6" x14ac:dyDescent="0.3">
      <c r="L114" s="49"/>
      <c r="P114" s="91"/>
      <c r="S114" s="174"/>
      <c r="T114" s="69"/>
      <c r="U114" s="100"/>
      <c r="V114" s="55"/>
      <c r="M114" s="0"/>
    </row>
    <row r="115" spans="12:22" ht="15.6" x14ac:dyDescent="0.3">
      <c r="L115" s="49"/>
      <c r="P115" s="91"/>
      <c r="S115" s="174"/>
      <c r="T115" s="69"/>
      <c r="U115" s="100"/>
      <c r="V115" s="55"/>
      <c r="M115" s="0"/>
    </row>
    <row r="116" spans="12:22" ht="15.6" x14ac:dyDescent="0.3">
      <c r="L116" s="49"/>
      <c r="P116" s="91"/>
      <c r="S116" s="174"/>
      <c r="T116" s="69"/>
      <c r="U116" s="100"/>
      <c r="V116" s="55"/>
      <c r="M116" s="0"/>
    </row>
    <row r="117" spans="12:22" ht="15.6" x14ac:dyDescent="0.3">
      <c r="L117" s="49"/>
      <c r="P117" s="91"/>
      <c r="S117" s="174"/>
      <c r="T117" s="69"/>
      <c r="U117" s="100"/>
      <c r="V117" s="55"/>
      <c r="M117" s="0"/>
    </row>
    <row r="118" spans="12:22" ht="15.6" x14ac:dyDescent="0.3">
      <c r="L118" s="49"/>
      <c r="P118" s="91"/>
      <c r="S118" s="174"/>
      <c r="T118" s="69"/>
      <c r="U118" s="100"/>
      <c r="V118" s="55"/>
      <c r="M118" s="0"/>
    </row>
    <row r="119" spans="12:22" ht="15.6" x14ac:dyDescent="0.3">
      <c r="L119" s="49"/>
      <c r="P119" s="91"/>
      <c r="S119" s="174"/>
      <c r="T119" s="69"/>
      <c r="U119" s="100"/>
      <c r="V119" s="55"/>
      <c r="M119" s="0"/>
    </row>
    <row r="120" spans="12:22" ht="15.6" x14ac:dyDescent="0.3">
      <c r="L120" s="49"/>
      <c r="P120" s="91"/>
      <c r="S120" s="174"/>
      <c r="T120" s="69"/>
      <c r="U120" s="100"/>
      <c r="V120" s="55"/>
      <c r="M120" s="0"/>
    </row>
    <row r="121" spans="12:22" ht="15.6" x14ac:dyDescent="0.3">
      <c r="L121" s="49"/>
      <c r="P121" s="91"/>
      <c r="S121" s="174"/>
      <c r="T121" s="69"/>
      <c r="U121" s="100"/>
      <c r="V121" s="55"/>
      <c r="M121" s="0"/>
    </row>
    <row r="122" spans="12:22" ht="15.6" x14ac:dyDescent="0.3">
      <c r="L122" s="49"/>
      <c r="P122" s="91"/>
      <c r="S122" s="174"/>
      <c r="T122" s="69"/>
      <c r="U122" s="100"/>
      <c r="V122" s="55"/>
      <c r="M122" s="0"/>
    </row>
    <row r="123" spans="12:22" ht="15.6" x14ac:dyDescent="0.3">
      <c r="L123" s="49"/>
      <c r="P123" s="91"/>
      <c r="S123" s="174"/>
      <c r="T123" s="69"/>
      <c r="U123" s="100"/>
      <c r="V123" s="55"/>
      <c r="M123" s="0"/>
    </row>
    <row r="124" spans="12:22" ht="15.6" x14ac:dyDescent="0.3">
      <c r="L124" s="49"/>
      <c r="P124" s="91"/>
      <c r="S124" s="174"/>
      <c r="T124" s="69"/>
      <c r="U124" s="100"/>
      <c r="V124" s="55"/>
      <c r="M124" s="0"/>
    </row>
    <row r="125" spans="12:22" ht="15.6" x14ac:dyDescent="0.3">
      <c r="L125" s="49"/>
      <c r="P125" s="91"/>
      <c r="S125" s="174"/>
      <c r="T125" s="69"/>
      <c r="U125" s="100"/>
      <c r="V125" s="55"/>
      <c r="M125" s="0"/>
    </row>
    <row r="126" spans="12:22" ht="15.6" x14ac:dyDescent="0.3">
      <c r="L126" s="49"/>
      <c r="P126" s="91"/>
      <c r="S126" s="174"/>
      <c r="T126" s="69"/>
      <c r="U126" s="100"/>
      <c r="V126" s="55"/>
      <c r="M126" s="0"/>
    </row>
    <row r="127" spans="12:22" ht="15.6" x14ac:dyDescent="0.3">
      <c r="L127" s="49"/>
      <c r="P127" s="91"/>
      <c r="S127" s="174"/>
      <c r="T127" s="69"/>
      <c r="U127" s="100"/>
      <c r="V127" s="55"/>
      <c r="M127" s="0"/>
    </row>
    <row r="128" spans="12:22" ht="15.6" x14ac:dyDescent="0.3">
      <c r="L128" s="49"/>
      <c r="P128" s="91"/>
      <c r="S128" s="174"/>
      <c r="T128" s="69"/>
      <c r="U128" s="100"/>
      <c r="V128" s="55"/>
      <c r="M128" s="0"/>
    </row>
    <row r="129" spans="12:22" ht="15.6" x14ac:dyDescent="0.3">
      <c r="L129" s="49"/>
      <c r="P129" s="91"/>
      <c r="S129" s="174"/>
      <c r="T129" s="69"/>
      <c r="U129" s="100"/>
      <c r="V129" s="55"/>
      <c r="M129" s="0"/>
    </row>
    <row r="130" spans="12:22" ht="15.6" x14ac:dyDescent="0.3">
      <c r="L130" s="49"/>
      <c r="P130" s="91"/>
      <c r="S130" s="174"/>
      <c r="T130" s="69"/>
      <c r="U130" s="100"/>
      <c r="V130" s="55"/>
      <c r="M130" s="0"/>
    </row>
    <row r="131" spans="12:22" ht="15.6" x14ac:dyDescent="0.3">
      <c r="L131" s="49"/>
      <c r="M131" s="89"/>
      <c r="N131" s="90"/>
      <c r="O131" s="147"/>
      <c r="P131" s="91"/>
      <c r="Q131" s="60"/>
      <c r="R131" s="174"/>
      <c r="S131" s="174"/>
      <c r="T131" s="69"/>
      <c r="U131" s="100"/>
      <c r="V131" s="55"/>
    </row>
    <row r="132" spans="12:22" ht="15.6" x14ac:dyDescent="0.3">
      <c r="L132" s="49"/>
      <c r="M132" s="163" t="s">
        <v>61</v>
      </c>
      <c r="N132" s="164"/>
      <c r="O132" s="165"/>
      <c r="P132" s="166"/>
      <c r="Q132" s="167"/>
      <c r="R132" s="177"/>
      <c r="S132" s="177"/>
      <c r="T132" s="172"/>
      <c r="U132" s="173"/>
      <c r="V132" s="55"/>
    </row>
    <row r="133" spans="12:22" ht="15.6" x14ac:dyDescent="0.3">
      <c r="L133" s="49"/>
      <c r="M133" s="163" t="s">
        <v>62</v>
      </c>
      <c r="N133" s="164"/>
      <c r="O133" s="165"/>
      <c r="P133" s="166"/>
      <c r="Q133" s="167"/>
      <c r="R133" s="168"/>
      <c r="S133" s="168"/>
      <c r="T133" s="172"/>
      <c r="U133" s="173"/>
      <c r="V133" s="55"/>
    </row>
    <row r="134" spans="12:22" ht="16.2" thickBot="1" x14ac:dyDescent="0.35">
      <c r="L134" s="49"/>
      <c r="M134" s="99"/>
      <c r="N134" s="68"/>
      <c r="O134" s="147"/>
      <c r="P134" s="91"/>
      <c r="Q134" s="60"/>
      <c r="R134" s="60"/>
      <c r="S134" s="60"/>
      <c r="T134" s="69"/>
      <c r="U134" s="100"/>
      <c r="V134" s="55"/>
    </row>
    <row r="135" spans="12:22" ht="16.2" thickBot="1" x14ac:dyDescent="0.35">
      <c r="L135" s="49"/>
      <c r="M135" s="106" t="s">
        <v>11</v>
      </c>
      <c r="N135" s="107">
        <f>SUM(N133:N134)</f>
        <v>0</v>
      </c>
      <c r="O135" s="101"/>
      <c r="P135" s="103"/>
      <c r="Q135" s="102"/>
      <c r="R135" s="102"/>
      <c r="S135" s="102"/>
      <c r="T135" s="104"/>
      <c r="U135" s="105"/>
      <c r="V135" s="55"/>
    </row>
    <row r="136" spans="12:22" x14ac:dyDescent="0.3">
      <c r="M136"/>
      <c r="O136" s="5"/>
      <c r="Q136"/>
      <c r="S136"/>
      <c r="T136" s="6"/>
      <c r="V136" s="55"/>
    </row>
    <row r="137" spans="12:22" x14ac:dyDescent="0.3">
      <c r="O137"/>
      <c r="V137" s="55"/>
    </row>
    <row r="138" spans="12:22" x14ac:dyDescent="0.3">
      <c r="M138" s="23"/>
      <c r="N138" s="23"/>
      <c r="O138" s="23"/>
      <c r="P138" s="23"/>
      <c r="Q138" s="23"/>
      <c r="V138" s="55"/>
    </row>
    <row r="139" spans="12:22" x14ac:dyDescent="0.3">
      <c r="V139" s="55"/>
    </row>
    <row r="140" spans="12:22" x14ac:dyDescent="0.3">
      <c r="V140" s="55"/>
    </row>
    <row r="141" spans="12:22" x14ac:dyDescent="0.3">
      <c r="V141" s="55"/>
    </row>
    <row r="142" spans="12:22" x14ac:dyDescent="0.3">
      <c r="V142" s="55"/>
    </row>
    <row r="143" spans="12:22" x14ac:dyDescent="0.3">
      <c r="V143" s="55"/>
    </row>
    <row r="144" spans="12:22" x14ac:dyDescent="0.3">
      <c r="V144" s="55"/>
    </row>
    <row r="145" spans="12:22" x14ac:dyDescent="0.3">
      <c r="V145" s="55"/>
    </row>
    <row r="146" spans="12:22" x14ac:dyDescent="0.3">
      <c r="V146" s="55"/>
    </row>
    <row r="147" spans="22:22" x14ac:dyDescent="0.3">
      <c r="V147" s="55"/>
    </row>
    <row r="148" spans="22:22" x14ac:dyDescent="0.3">
      <c r="V148" s="55"/>
    </row>
    <row r="149" spans="22:22" x14ac:dyDescent="0.3">
      <c r="V149" s="55"/>
    </row>
    <row r="150" spans="22:22" x14ac:dyDescent="0.3">
      <c r="V150" s="55"/>
    </row>
    <row r="151" spans="22:22" x14ac:dyDescent="0.3">
      <c r="V151" s="55"/>
    </row>
    <row r="152" spans="22:22" x14ac:dyDescent="0.3">
      <c r="V152" s="55"/>
    </row>
    <row r="153" spans="22:22" x14ac:dyDescent="0.3">
      <c r="V153" s="55"/>
    </row>
    <row r="154" spans="22:22" x14ac:dyDescent="0.3">
      <c r="V154" s="55"/>
    </row>
    <row r="155" spans="22:22" x14ac:dyDescent="0.3">
      <c r="V155" s="55"/>
    </row>
    <row r="156" spans="22:22" x14ac:dyDescent="0.3">
      <c r="V156" s="55"/>
    </row>
    <row r="157" spans="22:22" x14ac:dyDescent="0.3">
      <c r="V157" s="55"/>
    </row>
    <row r="158" spans="22:22" x14ac:dyDescent="0.3">
      <c r="V158" s="55"/>
    </row>
    <row r="159" spans="22:22" x14ac:dyDescent="0.3">
      <c r="V159" s="55"/>
    </row>
    <row r="160" spans="22:22" x14ac:dyDescent="0.3">
      <c r="V160" s="55"/>
    </row>
    <row r="161" spans="22:22" x14ac:dyDescent="0.3">
      <c r="V161" s="55"/>
    </row>
    <row r="162" spans="22:22" x14ac:dyDescent="0.3">
      <c r="V162" s="55"/>
    </row>
    <row r="163" spans="22:22" x14ac:dyDescent="0.3">
      <c r="V163" s="55"/>
    </row>
    <row r="164" spans="22:22" x14ac:dyDescent="0.3">
      <c r="V164" s="55"/>
    </row>
    <row r="165" spans="22:22" x14ac:dyDescent="0.3">
      <c r="V165" s="55"/>
    </row>
    <row r="166" spans="22:22" x14ac:dyDescent="0.3">
      <c r="V166" s="55"/>
    </row>
    <row r="167" spans="22:22" x14ac:dyDescent="0.3">
      <c r="V167" s="55"/>
    </row>
    <row r="168" spans="22:22" x14ac:dyDescent="0.3">
      <c r="V168" s="55"/>
    </row>
    <row r="169" spans="22:22" x14ac:dyDescent="0.3">
      <c r="V169" s="55"/>
    </row>
  </sheetData>
  <mergeCells count="139">
    <mergeCell ref="O27:P27"/>
    <mergeCell ref="Q27:S27"/>
    <mergeCell ref="T27:U27"/>
    <mergeCell ref="N23:S23"/>
    <mergeCell ref="N24:S24"/>
    <mergeCell ref="M25:N25"/>
    <mergeCell ref="O25:P25"/>
    <mergeCell ref="Q25:S25"/>
    <mergeCell ref="T25:U25"/>
    <mergeCell ref="M22:U22"/>
    <mergeCell ref="Q26:S26"/>
    <mergeCell ref="O29:P29"/>
    <mergeCell ref="Q29:S29"/>
    <mergeCell ref="T29:U29"/>
    <mergeCell ref="T30:U30"/>
    <mergeCell ref="Q32:S32"/>
    <mergeCell ref="M31:N31"/>
    <mergeCell ref="O31:P31"/>
    <mergeCell ref="Q31:S31"/>
    <mergeCell ref="T28:U28"/>
    <mergeCell ref="O28:P28"/>
    <mergeCell ref="Q28:S28"/>
    <mergeCell ref="M28:N28"/>
    <mergeCell ref="M30:N30"/>
    <mergeCell ref="M29:N29"/>
    <mergeCell ref="R35:S35"/>
    <mergeCell ref="T35:U35"/>
    <mergeCell ref="O33:P33"/>
    <mergeCell ref="Q33:S33"/>
    <mergeCell ref="M34:N34"/>
    <mergeCell ref="O34:P34"/>
    <mergeCell ref="Q34:S34"/>
    <mergeCell ref="O30:P30"/>
    <mergeCell ref="Q30:S30"/>
    <mergeCell ref="D43:E43"/>
    <mergeCell ref="D47:E47"/>
    <mergeCell ref="D45:E45"/>
    <mergeCell ref="D46:E46"/>
    <mergeCell ref="M32:N32"/>
    <mergeCell ref="O32:P32"/>
    <mergeCell ref="M38:N38"/>
    <mergeCell ref="M35:O35"/>
    <mergeCell ref="P35:Q35"/>
    <mergeCell ref="T67:U67"/>
    <mergeCell ref="M69:U69"/>
    <mergeCell ref="R67:S67"/>
    <mergeCell ref="D68:E68"/>
    <mergeCell ref="D72:E72"/>
    <mergeCell ref="D73:E73"/>
    <mergeCell ref="D70:E70"/>
    <mergeCell ref="D44:E44"/>
    <mergeCell ref="D52:E52"/>
    <mergeCell ref="D48:E48"/>
    <mergeCell ref="D49:E49"/>
    <mergeCell ref="D60:E60"/>
    <mergeCell ref="D66:E66"/>
    <mergeCell ref="D53:E53"/>
    <mergeCell ref="D51:E51"/>
    <mergeCell ref="P67:Q67"/>
    <mergeCell ref="R75:S75"/>
    <mergeCell ref="D69:E69"/>
    <mergeCell ref="D65:E65"/>
    <mergeCell ref="D54:E54"/>
    <mergeCell ref="M65:N65"/>
    <mergeCell ref="M67:O67"/>
    <mergeCell ref="D64:E64"/>
    <mergeCell ref="D74:E74"/>
    <mergeCell ref="D76:E76"/>
    <mergeCell ref="D75:E75"/>
    <mergeCell ref="A92:A95"/>
    <mergeCell ref="R87:S87"/>
    <mergeCell ref="R104:S104"/>
    <mergeCell ref="R105:S105"/>
    <mergeCell ref="R106:S106"/>
    <mergeCell ref="R113:S113"/>
    <mergeCell ref="R114:S114"/>
    <mergeCell ref="R115:S115"/>
    <mergeCell ref="R116:S116"/>
    <mergeCell ref="R107:S107"/>
    <mergeCell ref="R108:S108"/>
    <mergeCell ref="R109:S109"/>
    <mergeCell ref="R110:S110"/>
    <mergeCell ref="R111:S111"/>
    <mergeCell ref="D77:E77"/>
    <mergeCell ref="D71:E71"/>
    <mergeCell ref="D83:E83"/>
    <mergeCell ref="R112:S112"/>
    <mergeCell ref="D78:E78"/>
    <mergeCell ref="D79:E79"/>
    <mergeCell ref="D86:E86"/>
    <mergeCell ref="R132:S132"/>
    <mergeCell ref="D87:E87"/>
    <mergeCell ref="D85:E85"/>
    <mergeCell ref="R122:S122"/>
    <mergeCell ref="R123:S123"/>
    <mergeCell ref="R124:S124"/>
    <mergeCell ref="R72:S72"/>
    <mergeCell ref="R73:S73"/>
    <mergeCell ref="R74:S74"/>
    <mergeCell ref="R71:S71"/>
    <mergeCell ref="R80:S80"/>
    <mergeCell ref="R85:S85"/>
    <mergeCell ref="R76:S76"/>
    <mergeCell ref="R78:S78"/>
    <mergeCell ref="R84:S84"/>
    <mergeCell ref="R77:S77"/>
    <mergeCell ref="R79:S79"/>
    <mergeCell ref="R83:S83"/>
    <mergeCell ref="R94:S94"/>
    <mergeCell ref="R92:S92"/>
    <mergeCell ref="R95:S95"/>
    <mergeCell ref="R98:S98"/>
    <mergeCell ref="R99:S99"/>
    <mergeCell ref="R100:S100"/>
    <mergeCell ref="R101:S101"/>
    <mergeCell ref="R102:S102"/>
    <mergeCell ref="R96:S96"/>
    <mergeCell ref="R97:S97"/>
    <mergeCell ref="R93:S93"/>
    <mergeCell ref="R86:S86"/>
    <mergeCell ref="R103:S103"/>
    <mergeCell ref="R125:S125"/>
    <mergeCell ref="R126:S126"/>
    <mergeCell ref="R117:S117"/>
    <mergeCell ref="R118:S118"/>
    <mergeCell ref="R119:S119"/>
    <mergeCell ref="R120:S120"/>
    <mergeCell ref="R121:S121"/>
    <mergeCell ref="T132:U132"/>
    <mergeCell ref="T133:U133"/>
    <mergeCell ref="R127:S127"/>
    <mergeCell ref="R128:S128"/>
    <mergeCell ref="R129:S129"/>
    <mergeCell ref="R130:S130"/>
    <mergeCell ref="R131:S131"/>
    <mergeCell ref="R88:S88"/>
    <mergeCell ref="R89:S89"/>
    <mergeCell ref="R90:S90"/>
    <mergeCell ref="R91:S9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2026-05-27T21:53:23Z</dcterms:modified>
</cp:coreProperties>
</file>