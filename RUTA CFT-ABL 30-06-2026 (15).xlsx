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ATE\"/>
    </mc:Choice>
  </mc:AlternateContent>
  <xr:revisionPtr revIDLastSave="0" documentId="8_{492901BA-4650-410B-B94B-3677E05A9A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en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9" i="1" l="1"/>
  <c r="T85" i="1"/>
  <c r="J56" i="1"/>
  <c r="I56" i="1"/>
  <c r="J37" i="1"/>
  <c r="I37" i="1"/>
  <c r="J36" i="1"/>
  <c r="I36" i="1"/>
  <c r="J35" i="1"/>
  <c r="I35" i="1"/>
  <c r="J34" i="1"/>
  <c r="I34" i="1"/>
  <c r="W33" i="1"/>
  <c r="J33" i="1"/>
  <c r="I33" i="1"/>
  <c r="J32" i="1"/>
  <c r="I32" i="1"/>
  <c r="J31" i="1"/>
  <c r="I31" i="1"/>
  <c r="W30" i="1"/>
  <c r="J30" i="1"/>
  <c r="I30" i="1"/>
  <c r="W29" i="1"/>
  <c r="J29" i="1"/>
  <c r="I29" i="1"/>
  <c r="J28" i="1"/>
  <c r="I28" i="1"/>
  <c r="J27" i="1"/>
  <c r="I27" i="1"/>
  <c r="U20" i="1"/>
  <c r="R20" i="1"/>
  <c r="M20" i="1"/>
  <c r="J20" i="1"/>
  <c r="E20" i="1"/>
  <c r="B20" i="1"/>
  <c r="W18" i="1"/>
  <c r="W20" i="1" s="1"/>
  <c r="V18" i="1"/>
  <c r="V20" i="1" s="1"/>
  <c r="U18" i="1"/>
  <c r="T18" i="1"/>
  <c r="T20" i="1" s="1"/>
  <c r="S18" i="1"/>
  <c r="S20" i="1" s="1"/>
  <c r="R18" i="1"/>
  <c r="Q18" i="1"/>
  <c r="Q20" i="1" s="1"/>
  <c r="P18" i="1"/>
  <c r="P20" i="1" s="1"/>
  <c r="O18" i="1"/>
  <c r="O20" i="1" s="1"/>
  <c r="N18" i="1"/>
  <c r="N20" i="1" s="1"/>
  <c r="M18" i="1"/>
  <c r="L18" i="1"/>
  <c r="L20" i="1" s="1"/>
  <c r="K18" i="1"/>
  <c r="K20" i="1" s="1"/>
  <c r="J18" i="1"/>
  <c r="I18" i="1"/>
  <c r="I20" i="1" s="1"/>
  <c r="H18" i="1"/>
  <c r="H20" i="1" s="1"/>
  <c r="G18" i="1"/>
  <c r="G20" i="1" s="1"/>
  <c r="F18" i="1"/>
  <c r="F20" i="1" s="1"/>
  <c r="E18" i="1"/>
  <c r="D18" i="1"/>
  <c r="D20" i="1" s="1"/>
  <c r="C18" i="1"/>
  <c r="C20" i="1" s="1"/>
  <c r="B18" i="1"/>
</calcChain>
</file>

<file path=xl/sharedStrings.xml><?xml version="1.0" encoding="utf-8"?>
<sst xmlns="http://schemas.openxmlformats.org/spreadsheetml/2006/main" count="463" uniqueCount="226">
  <si>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</si>
  <si>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</si>
  <si>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</si>
  <si>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</si>
  <si>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</si>
  <si>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</si>
  <si>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</si>
  <si>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</si>
  <si>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</si>
  <si>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</si>
  <si>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</si>
  <si>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</si>
  <si>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</si>
  <si>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</si>
  <si>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</si>
  <si>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</si>
  <si>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</si>
  <si>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</si>
  <si>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</si>
  <si>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</si>
  <si>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</si>
  <si>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</si>
  <si>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</si>
  <si>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</si>
  <si>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</si>
  <si>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</si>
  <si>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</si>
  <si>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</si>
  <si>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</si>
  <si>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</si>
  <si>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</si>
  <si>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</si>
  <si>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</si>
  <si>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</si>
  <si>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</si>
  <si>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</si>
  <si>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</si>
  <si>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</si>
  <si>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</si>
  <si>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</si>
  <si>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</si>
  <si>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</si>
  <si>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</si>
  <si>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</si>
  <si>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</si>
  <si>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</si>
  <si>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</si>
  <si>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</si>
  <si>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</si>
  <si>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</si>
  <si>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</si>
  <si>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</si>
  <si>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</si>
  <si>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</si>
  <si>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</si>
  <si>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</si>
  <si>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</si>
  <si>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</si>
  <si>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</si>
  <si>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</si>
  <si>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</si>
  <si>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</si>
  <si>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Ricardo</t>
  </si>
  <si>
    <t>JORGE</t>
  </si>
  <si>
    <t>CRISTIAN</t>
  </si>
  <si>
    <t>Bernal</t>
  </si>
  <si>
    <t>Marco</t>
  </si>
  <si>
    <t>CRISTOFER</t>
  </si>
  <si>
    <t>Juan G.</t>
  </si>
  <si>
    <t>Pedro</t>
  </si>
  <si>
    <t>PEDRO</t>
  </si>
  <si>
    <t>Marcelo</t>
  </si>
  <si>
    <t>Sepulveda</t>
  </si>
  <si>
    <t>VICTOR</t>
  </si>
  <si>
    <t>Mariano</t>
  </si>
  <si>
    <t>Yonathan</t>
  </si>
  <si>
    <t>MIGUEL</t>
  </si>
  <si>
    <t>Dionel</t>
  </si>
  <si>
    <t>Percy</t>
  </si>
  <si>
    <t>PERCY</t>
  </si>
  <si>
    <t>Vicho</t>
  </si>
  <si>
    <t>Ruta</t>
  </si>
  <si>
    <t>1.0.198.396.057.066.057e+34</t>
  </si>
  <si>
    <t>6.057.411.209.230.605e+25</t>
  </si>
  <si>
    <t>Distribuidora</t>
  </si>
  <si>
    <t>Maria Elena</t>
  </si>
  <si>
    <t>Interior</t>
  </si>
  <si>
    <t>Sur</t>
  </si>
  <si>
    <t>Centro</t>
  </si>
  <si>
    <t>Hospicio 3</t>
  </si>
  <si>
    <t>Hospicio 2</t>
  </si>
  <si>
    <t>Hospicio 1</t>
  </si>
  <si>
    <t>Norte</t>
  </si>
  <si>
    <t>Hospicio 4</t>
  </si>
  <si>
    <t>Agro</t>
  </si>
  <si>
    <t>Nene Spa</t>
  </si>
  <si>
    <t>Calderon</t>
  </si>
  <si>
    <t>260006347</t>
  </si>
  <si>
    <t>260006346</t>
  </si>
  <si>
    <t>260006345</t>
  </si>
  <si>
    <t>260006344</t>
  </si>
  <si>
    <t>260006343</t>
  </si>
  <si>
    <t>260006342</t>
  </si>
  <si>
    <t>260006341</t>
  </si>
  <si>
    <t>260006332</t>
  </si>
  <si>
    <t>260006320</t>
  </si>
  <si>
    <t>260006312</t>
  </si>
  <si>
    <t>260006311</t>
  </si>
  <si>
    <t>30-06-2026</t>
  </si>
  <si>
    <t>0</t>
  </si>
  <si>
    <t>HERMES LOPEZ</t>
  </si>
  <si>
    <t>605741</t>
  </si>
  <si>
    <t>79</t>
  </si>
  <si>
    <t>CO JUANTIA</t>
  </si>
  <si>
    <t>605755</t>
  </si>
  <si>
    <t>Carlos Abarca</t>
  </si>
  <si>
    <t>605.790</t>
  </si>
  <si>
    <t>70</t>
  </si>
  <si>
    <t>Dist. MENE Spa</t>
  </si>
  <si>
    <t>605832</t>
  </si>
  <si>
    <t>69</t>
  </si>
  <si>
    <t>BEATRIZ LERIDA</t>
  </si>
  <si>
    <t>605.651</t>
  </si>
  <si>
    <t>Voucher Banco Estado</t>
  </si>
  <si>
    <t>SECUNDINO NINA</t>
  </si>
  <si>
    <t>605.559</t>
  </si>
  <si>
    <t>ESPERANZA CARRASCO</t>
  </si>
  <si>
    <t>605.649</t>
  </si>
  <si>
    <t>Banco Estado</t>
  </si>
  <si>
    <t>JOSE HIDALGO</t>
  </si>
  <si>
    <t>605.653</t>
  </si>
  <si>
    <t>LOURDES LOZA</t>
  </si>
  <si>
    <t>605.662</t>
  </si>
  <si>
    <t>ARMINDA TICONA</t>
  </si>
  <si>
    <t>605.666</t>
  </si>
  <si>
    <t>HICARIA MARCA</t>
  </si>
  <si>
    <t>605.658</t>
  </si>
  <si>
    <t>CELIA URIRI</t>
  </si>
  <si>
    <t>605683</t>
  </si>
  <si>
    <t>MIG. GUSTAVO TRIGO</t>
  </si>
  <si>
    <t>60568P</t>
  </si>
  <si>
    <t>SABINA MAMANI</t>
  </si>
  <si>
    <t>605675</t>
  </si>
  <si>
    <t>Banco Santander</t>
  </si>
  <si>
    <t>SOC. ILAYA Y FEG.</t>
  </si>
  <si>
    <t>605685</t>
  </si>
  <si>
    <t>ELEVADIO FLORES</t>
  </si>
  <si>
    <t>605678</t>
  </si>
  <si>
    <t>MONICA MENDEZ</t>
  </si>
  <si>
    <t>605672</t>
  </si>
  <si>
    <t>VIEJO LOBO</t>
  </si>
  <si>
    <t>605688</t>
  </si>
  <si>
    <t>PEDRO MUÑOZ</t>
  </si>
  <si>
    <t>605673</t>
  </si>
  <si>
    <t>CLAUDIO COLOCO</t>
  </si>
  <si>
    <t>605676</t>
  </si>
  <si>
    <t>MANUEL QUIJADA</t>
  </si>
  <si>
    <t>605.701</t>
  </si>
  <si>
    <t>LIS FLORES</t>
  </si>
  <si>
    <t>605.704</t>
  </si>
  <si>
    <t>MARIA CALDERON</t>
  </si>
  <si>
    <t>605.706</t>
  </si>
  <si>
    <t>MAITE DELGADO</t>
  </si>
  <si>
    <t>605.697</t>
  </si>
  <si>
    <t>COMERCIAL CAVI SPA</t>
  </si>
  <si>
    <t>605.711</t>
  </si>
  <si>
    <t>Minirosket natalia</t>
  </si>
  <si>
    <t>605731</t>
  </si>
  <si>
    <t>Paola Bañados</t>
  </si>
  <si>
    <t>605718</t>
  </si>
  <si>
    <t>Alfonso octavio</t>
  </si>
  <si>
    <t>605720</t>
  </si>
  <si>
    <t>Aresica peréz</t>
  </si>
  <si>
    <t>605728</t>
  </si>
  <si>
    <t>Javier alconz</t>
  </si>
  <si>
    <t>605729</t>
  </si>
  <si>
    <t>Juan carlos</t>
  </si>
  <si>
    <t>605717</t>
  </si>
  <si>
    <t>Mirian Gladys</t>
  </si>
  <si>
    <t>605727</t>
  </si>
  <si>
    <t>Lourdes Castro</t>
  </si>
  <si>
    <t>605726</t>
  </si>
  <si>
    <t>Jazne marani</t>
  </si>
  <si>
    <t>605725</t>
  </si>
  <si>
    <t>Friex</t>
  </si>
  <si>
    <t>Juli Marcial</t>
  </si>
  <si>
    <t>605.744</t>
  </si>
  <si>
    <t>ALEX QUISPE</t>
  </si>
  <si>
    <t>605.781</t>
  </si>
  <si>
    <t>MARIBEL CHAMBI</t>
  </si>
  <si>
    <t>605.767</t>
  </si>
  <si>
    <t>TANCREDO VILCA</t>
  </si>
  <si>
    <t>605.770</t>
  </si>
  <si>
    <t>VICTOR HUGO PACO</t>
  </si>
  <si>
    <t>605.771</t>
  </si>
  <si>
    <t>EDMUNDO TICONA</t>
  </si>
  <si>
    <t>60.576.162</t>
  </si>
  <si>
    <t>SANOR AMAMANI</t>
  </si>
  <si>
    <t>607.776</t>
  </si>
  <si>
    <t>SIMNY LUYO</t>
  </si>
  <si>
    <t>605.779</t>
  </si>
  <si>
    <t>BusANCITY</t>
  </si>
  <si>
    <t>605.809</t>
  </si>
  <si>
    <t>Edwin Flores</t>
  </si>
  <si>
    <t>605.798</t>
  </si>
  <si>
    <t>Gladys roxana</t>
  </si>
  <si>
    <t>605.792</t>
  </si>
  <si>
    <t>Contratista Marino</t>
  </si>
  <si>
    <t>605.808</t>
  </si>
  <si>
    <t>Guiol chura</t>
  </si>
  <si>
    <t>605.800</t>
  </si>
  <si>
    <t>German Molina</t>
  </si>
  <si>
    <t>605.804</t>
  </si>
  <si>
    <t>Min. Market Dios es fiel</t>
  </si>
  <si>
    <t>605.816</t>
  </si>
  <si>
    <t>Martha Susy</t>
  </si>
  <si>
    <t>605.793</t>
  </si>
  <si>
    <t>Carmen</t>
  </si>
  <si>
    <t>605.789</t>
  </si>
  <si>
    <t>LISET CASTRO</t>
  </si>
  <si>
    <t>605817-18-19</t>
  </si>
  <si>
    <t>PRIMITVO COLQUE</t>
  </si>
  <si>
    <t>605820-21-22-23</t>
  </si>
  <si>
    <t>BAUTISTA CARDENAS</t>
  </si>
  <si>
    <t>625824-25</t>
  </si>
  <si>
    <t>605.833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</si>
</sst>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6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6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6" fillId="0" borderId="5" xfId="1" applyNumberFormat="1" applyFont="1" applyFill="1" applyBorder="1" applyAlignment="1">
      <alignment vertical="center"/>
    </xf>
    <xf numFmtId="167" fontId="16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6" fillId="0" borderId="19" xfId="1" applyNumberFormat="1" applyFont="1" applyFill="1" applyBorder="1" applyAlignment="1">
      <alignment vertical="center"/>
    </xf>
    <xf numFmtId="167" fontId="16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15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3" fontId="6" fillId="0" borderId="4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8" fontId="6" fillId="0" borderId="28" xfId="0" applyNumberFormat="1" applyFont="1" applyBorder="1" applyAlignment="1">
      <alignment horizontal="center" vertical="center"/>
    </xf>
    <xf numFmtId="168" fontId="6" fillId="0" borderId="29" xfId="0" applyNumberFormat="1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7" fontId="16" fillId="4" borderId="0" xfId="1" applyNumberFormat="1" applyFont="1" applyFill="1" applyBorder="1" applyAlignment="1">
      <alignment horizontal="center" vertical="center"/>
    </xf>
    <xf numFmtId="167" fontId="16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42" fontId="6" fillId="0" borderId="0" xfId="2" applyFont="1" applyBorder="1" applyAlignment="1"/>
    <xf numFmtId="0" fontId="6" fillId="0" borderId="0" xfId="0" applyFont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"/>
  <sheetViews>
    <sheetView tabSelected="1" topLeftCell="A36" zoomScale="93" zoomScaleNormal="93" workbookViewId="0">
      <pane xSplit="1" topLeftCell="E1" activePane="topRight" state="frozenSplit"/>
      <selection activeCell="A49" sqref="A49"/>
      <selection pane="topRight" activeCell="Q25" sqref="Q25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49</v>
      </c>
      <c r="B1" s="106" t="s">
        <v>62</v>
      </c>
      <c r="C1" s="114" t="s">
        <v>63</v>
      </c>
      <c r="D1" s="114" t="s">
        <v>64</v>
      </c>
      <c r="E1" s="106" t="s">
        <v>65</v>
      </c>
      <c r="F1" s="114" t="s">
        <v>66</v>
      </c>
      <c r="G1" s="114" t="s">
        <v>67</v>
      </c>
      <c r="H1" s="106" t="s">
        <v>68</v>
      </c>
      <c r="I1" s="106" t="s">
        <v>69</v>
      </c>
      <c r="J1" s="114" t="s">
        <v>70</v>
      </c>
      <c r="K1" s="114" t="s">
        <v>69</v>
      </c>
      <c r="L1" s="106" t="s">
        <v>64</v>
      </c>
      <c r="M1" s="106"/>
      <c r="N1" s="106"/>
      <c r="O1" s="106"/>
      <c r="P1" s="106"/>
      <c r="Q1" s="106"/>
      <c r="R1" s="115"/>
      <c r="S1" s="114"/>
      <c r="T1" s="114"/>
      <c r="U1" s="7"/>
      <c r="V1" s="7"/>
      <c r="W1" s="108"/>
    </row>
    <row r="2" spans="1:23" s="8" customFormat="1" ht="15" customHeight="1" x14ac:dyDescent="0.3">
      <c r="A2" s="7" t="s">
        <v>50</v>
      </c>
      <c r="B2" s="106" t="s">
        <v>71</v>
      </c>
      <c r="C2" s="114" t="s">
        <v>72</v>
      </c>
      <c r="D2" s="114" t="s">
        <v>73</v>
      </c>
      <c r="E2" s="106" t="s">
        <v>74</v>
      </c>
      <c r="F2" s="114" t="s">
        <v>75</v>
      </c>
      <c r="G2" s="122" t="s">
        <v>76</v>
      </c>
      <c r="H2" s="106" t="s">
        <v>77</v>
      </c>
      <c r="I2" s="106" t="s">
        <v>78</v>
      </c>
      <c r="J2" s="114" t="s">
        <v>79</v>
      </c>
      <c r="K2" s="114" t="s">
        <v>78</v>
      </c>
      <c r="L2" s="106" t="s">
        <v>80</v>
      </c>
      <c r="M2" s="106"/>
      <c r="N2" s="106"/>
      <c r="O2" s="106"/>
      <c r="P2" s="106"/>
      <c r="Q2" s="106"/>
      <c r="R2" s="115"/>
      <c r="S2" s="114"/>
      <c r="T2" s="114"/>
      <c r="U2" s="7"/>
      <c r="V2" s="7"/>
      <c r="W2" s="108"/>
    </row>
    <row r="3" spans="1:23" s="43" customFormat="1" ht="15.75" customHeight="1" x14ac:dyDescent="0.3">
      <c r="A3" s="116" t="s">
        <v>35</v>
      </c>
      <c r="B3" s="114" t="s">
        <v>81</v>
      </c>
      <c r="C3" s="114" t="s">
        <v>81</v>
      </c>
      <c r="D3" s="114" t="s">
        <v>82</v>
      </c>
      <c r="E3" s="114" t="s">
        <v>81</v>
      </c>
      <c r="F3" s="114" t="s">
        <v>83</v>
      </c>
      <c r="G3" s="114" t="s">
        <v>81</v>
      </c>
      <c r="H3" s="114" t="s">
        <v>81</v>
      </c>
      <c r="I3" s="114" t="s">
        <v>81</v>
      </c>
      <c r="J3" s="114" t="s">
        <v>81</v>
      </c>
      <c r="K3" s="114" t="s">
        <v>84</v>
      </c>
      <c r="L3" s="114" t="s">
        <v>85</v>
      </c>
      <c r="M3" s="114"/>
      <c r="N3" s="114"/>
      <c r="O3" s="114"/>
      <c r="P3" s="114"/>
      <c r="Q3" s="114"/>
      <c r="R3" s="114"/>
      <c r="S3" s="114"/>
      <c r="T3" s="114"/>
      <c r="U3" s="104"/>
      <c r="V3" s="157"/>
      <c r="W3" s="110"/>
    </row>
    <row r="4" spans="1:23" s="43" customFormat="1" ht="15.75" customHeight="1" x14ac:dyDescent="0.3">
      <c r="A4" s="116" t="s">
        <v>51</v>
      </c>
      <c r="B4" s="114" t="s">
        <v>86</v>
      </c>
      <c r="C4" s="114" t="s">
        <v>87</v>
      </c>
      <c r="D4" s="114" t="s">
        <v>88</v>
      </c>
      <c r="E4" s="114" t="s">
        <v>89</v>
      </c>
      <c r="F4" s="114" t="s">
        <v>90</v>
      </c>
      <c r="G4" s="114" t="s">
        <v>91</v>
      </c>
      <c r="H4" s="114" t="s">
        <v>92</v>
      </c>
      <c r="I4" s="114" t="s">
        <v>93</v>
      </c>
      <c r="J4" s="114" t="s">
        <v>94</v>
      </c>
      <c r="K4" s="114" t="s">
        <v>95</v>
      </c>
      <c r="L4" s="114" t="s">
        <v>96</v>
      </c>
      <c r="M4" s="114"/>
      <c r="N4" s="114"/>
      <c r="O4" s="114"/>
      <c r="P4" s="114"/>
      <c r="Q4" s="114"/>
      <c r="R4" s="114"/>
      <c r="S4" s="114"/>
      <c r="T4" s="114"/>
      <c r="U4" s="104"/>
      <c r="V4" s="157"/>
      <c r="W4" s="110"/>
    </row>
    <row r="5" spans="1:23" s="43" customFormat="1" ht="15.75" customHeight="1" x14ac:dyDescent="0.3">
      <c r="A5" s="116" t="s">
        <v>0</v>
      </c>
      <c r="B5" s="123" t="s">
        <v>97</v>
      </c>
      <c r="C5" s="123" t="s">
        <v>98</v>
      </c>
      <c r="D5" s="123" t="s">
        <v>99</v>
      </c>
      <c r="E5" s="123" t="s">
        <v>100</v>
      </c>
      <c r="F5" s="123" t="s">
        <v>101</v>
      </c>
      <c r="G5" s="123" t="s">
        <v>102</v>
      </c>
      <c r="H5" s="123" t="s">
        <v>103</v>
      </c>
      <c r="I5" s="123" t="s">
        <v>104</v>
      </c>
      <c r="J5" s="123" t="s">
        <v>105</v>
      </c>
      <c r="K5" s="123" t="s">
        <v>106</v>
      </c>
      <c r="L5" s="123" t="s">
        <v>107</v>
      </c>
      <c r="M5" s="123"/>
      <c r="N5" s="123"/>
      <c r="O5" s="123"/>
      <c r="P5" s="123"/>
      <c r="Q5" s="123"/>
      <c r="R5" s="114"/>
      <c r="S5" s="114"/>
      <c r="T5" s="114"/>
      <c r="U5" s="105"/>
      <c r="V5" s="105"/>
      <c r="W5" s="105"/>
    </row>
    <row r="6" spans="1:23" s="43" customFormat="1" x14ac:dyDescent="0.3">
      <c r="A6" s="116" t="s">
        <v>1</v>
      </c>
      <c r="B6" s="114">
        <v>22</v>
      </c>
      <c r="C6" s="114">
        <v>20</v>
      </c>
      <c r="D6" s="114">
        <v>26</v>
      </c>
      <c r="E6" s="114">
        <v>17</v>
      </c>
      <c r="F6" s="114">
        <v>25</v>
      </c>
      <c r="G6" s="114">
        <v>32</v>
      </c>
      <c r="H6" s="114">
        <v>28</v>
      </c>
      <c r="I6" s="114">
        <v>4</v>
      </c>
      <c r="J6" s="114">
        <v>5</v>
      </c>
      <c r="K6" s="114">
        <v>1</v>
      </c>
      <c r="L6" s="114">
        <v>1</v>
      </c>
      <c r="M6" s="105"/>
      <c r="N6" s="105"/>
      <c r="O6" s="105"/>
      <c r="P6" s="105"/>
      <c r="Q6" s="105"/>
      <c r="R6" s="114"/>
      <c r="S6" s="114"/>
      <c r="T6" s="114"/>
      <c r="U6" s="105"/>
      <c r="V6" s="105"/>
      <c r="W6" s="105"/>
    </row>
    <row r="7" spans="1:23" s="43" customFormat="1" ht="72" x14ac:dyDescent="0.3">
      <c r="A7" s="116" t="s">
        <v>2</v>
      </c>
      <c r="B7" s="158">
        <v>3499277</v>
      </c>
      <c r="C7" s="158">
        <v>2318481</v>
      </c>
      <c r="D7" s="158">
        <v>4040001</v>
      </c>
      <c r="E7" s="158">
        <v>1324088</v>
      </c>
      <c r="F7" s="158">
        <v>4710676</v>
      </c>
      <c r="G7" s="158">
        <v>3441328</v>
      </c>
      <c r="H7" s="158">
        <v>2907182</v>
      </c>
      <c r="I7" s="158">
        <v>2833408</v>
      </c>
      <c r="J7" s="158">
        <v>1054260</v>
      </c>
      <c r="K7" s="158">
        <v>1441918</v>
      </c>
      <c r="L7" s="158">
        <v>170767</v>
      </c>
      <c r="M7" s="158"/>
      <c r="N7" s="158"/>
      <c r="O7" s="158"/>
      <c r="P7" s="158"/>
      <c r="Q7" s="158"/>
      <c r="R7" s="150"/>
      <c r="S7" s="150"/>
      <c r="T7" s="150"/>
      <c r="U7" s="151"/>
      <c r="V7" s="151"/>
      <c r="W7" s="151"/>
    </row>
    <row r="8" spans="1:23" s="43" customFormat="1" ht="15.75" customHeight="1" x14ac:dyDescent="0.3">
      <c r="A8" s="106"/>
      <c r="B8" s="151"/>
      <c r="C8" s="105"/>
      <c r="D8" s="151"/>
      <c r="E8" s="105"/>
      <c r="F8" s="104"/>
      <c r="G8" s="105"/>
      <c r="H8" s="151"/>
      <c r="I8" s="105"/>
      <c r="J8" s="151"/>
      <c r="K8" s="105"/>
      <c r="L8" s="104"/>
      <c r="M8" s="105"/>
      <c r="N8" s="104"/>
      <c r="O8" s="105"/>
      <c r="P8" s="152"/>
      <c r="Q8" s="105"/>
      <c r="R8" s="152"/>
      <c r="S8" s="105"/>
      <c r="T8" s="152"/>
      <c r="U8" s="105"/>
      <c r="V8" s="104"/>
      <c r="W8" s="105"/>
    </row>
    <row r="9" spans="1:23" s="155" customFormat="1" ht="15.75" customHeight="1" x14ac:dyDescent="0.3">
      <c r="A9" s="107" t="s">
        <v>3</v>
      </c>
      <c r="B9" s="159">
        <v>1315000</v>
      </c>
      <c r="C9" s="159">
        <v>1028000</v>
      </c>
      <c r="D9" s="159">
        <v>1365000</v>
      </c>
      <c r="E9" s="151">
        <v>310000</v>
      </c>
      <c r="F9" s="104">
        <v>1913000</v>
      </c>
      <c r="G9" s="151">
        <v>2234000</v>
      </c>
      <c r="H9" s="104">
        <v>1024000</v>
      </c>
      <c r="I9" s="151"/>
      <c r="J9" s="104">
        <v>592000</v>
      </c>
      <c r="K9" s="151"/>
      <c r="L9" s="104"/>
      <c r="M9" s="151"/>
      <c r="N9" s="104"/>
      <c r="O9" s="151"/>
      <c r="P9" s="152"/>
      <c r="Q9" s="151"/>
      <c r="R9" s="152"/>
      <c r="S9" s="153"/>
      <c r="T9" s="153"/>
      <c r="U9" s="151"/>
      <c r="V9" s="104"/>
      <c r="W9" s="151"/>
    </row>
    <row r="10" spans="1:23" s="155" customFormat="1" ht="15.75" customHeight="1" x14ac:dyDescent="0.3">
      <c r="A10" s="107" t="s">
        <v>53</v>
      </c>
      <c r="B10" s="159">
        <v>1180</v>
      </c>
      <c r="C10" s="159">
        <v>370</v>
      </c>
      <c r="D10" s="159">
        <v>3680</v>
      </c>
      <c r="E10" s="151">
        <v>1290</v>
      </c>
      <c r="F10" s="104">
        <v>3060</v>
      </c>
      <c r="G10" s="151">
        <v>7120</v>
      </c>
      <c r="H10" s="104">
        <v>2910</v>
      </c>
      <c r="I10" s="151"/>
      <c r="J10" s="104">
        <v>1260</v>
      </c>
      <c r="K10" s="151"/>
      <c r="L10" s="104"/>
      <c r="M10" s="151"/>
      <c r="N10" s="104"/>
      <c r="O10" s="151"/>
      <c r="P10" s="152"/>
      <c r="Q10" s="151"/>
      <c r="R10" s="152"/>
      <c r="S10" s="153"/>
      <c r="T10" s="153"/>
      <c r="U10" s="151"/>
      <c r="V10" s="104"/>
      <c r="W10" s="151"/>
    </row>
    <row r="11" spans="1:23" s="155" customFormat="1" ht="15.75" customHeight="1" x14ac:dyDescent="0.3">
      <c r="A11" s="107" t="s">
        <v>4</v>
      </c>
      <c r="B11" s="159"/>
      <c r="C11" s="159"/>
      <c r="D11" s="159"/>
      <c r="E11" s="151"/>
      <c r="F11" s="104"/>
      <c r="G11" s="151"/>
      <c r="H11" s="104"/>
      <c r="I11" s="151"/>
      <c r="J11" s="104"/>
      <c r="K11" s="151"/>
      <c r="L11" s="104"/>
      <c r="M11" s="151"/>
      <c r="N11" s="104"/>
      <c r="O11" s="151"/>
      <c r="P11" s="152"/>
      <c r="Q11" s="151"/>
      <c r="R11" s="152"/>
      <c r="S11" s="153"/>
      <c r="T11" s="153"/>
      <c r="U11" s="151"/>
      <c r="V11" s="104"/>
      <c r="W11" s="151"/>
    </row>
    <row r="12" spans="1:23" s="155" customFormat="1" ht="15.75" customHeight="1" x14ac:dyDescent="0.3">
      <c r="A12" s="107" t="s">
        <v>5</v>
      </c>
      <c r="B12" s="159"/>
      <c r="C12" s="159"/>
      <c r="D12" s="159"/>
      <c r="E12" s="151"/>
      <c r="F12" s="104">
        <v>127092</v>
      </c>
      <c r="G12" s="151"/>
      <c r="H12" s="104"/>
      <c r="I12" s="151">
        <v>972618</v>
      </c>
      <c r="J12" s="104">
        <v>461001</v>
      </c>
      <c r="K12" s="151"/>
      <c r="L12" s="104"/>
      <c r="M12" s="151"/>
      <c r="N12" s="104"/>
      <c r="O12" s="151"/>
      <c r="P12" s="152"/>
      <c r="Q12" s="151"/>
      <c r="R12" s="152"/>
      <c r="S12" s="153"/>
      <c r="T12" s="153"/>
      <c r="U12" s="151"/>
      <c r="V12" s="104"/>
      <c r="W12" s="151"/>
    </row>
    <row r="13" spans="1:23" s="155" customFormat="1" ht="15.75" customHeight="1" x14ac:dyDescent="0.3">
      <c r="A13" s="107" t="s">
        <v>6</v>
      </c>
      <c r="B13" s="159"/>
      <c r="C13" s="159"/>
      <c r="D13" s="159"/>
      <c r="E13" s="151"/>
      <c r="F13" s="104">
        <v>2446377</v>
      </c>
      <c r="G13" s="151"/>
      <c r="H13" s="104">
        <v>639578</v>
      </c>
      <c r="I13" s="151"/>
      <c r="J13" s="104"/>
      <c r="K13" s="151">
        <v>1441918</v>
      </c>
      <c r="L13" s="104"/>
      <c r="M13" s="151"/>
      <c r="N13" s="104"/>
      <c r="O13" s="151"/>
      <c r="P13" s="152"/>
      <c r="Q13" s="151"/>
      <c r="R13" s="152"/>
      <c r="S13" s="153"/>
      <c r="T13" s="153"/>
      <c r="U13" s="151"/>
      <c r="V13" s="104"/>
      <c r="W13" s="151"/>
    </row>
    <row r="14" spans="1:23" s="155" customFormat="1" ht="15.75" customHeight="1" x14ac:dyDescent="0.3">
      <c r="A14" s="107" t="s">
        <v>7</v>
      </c>
      <c r="B14" s="159">
        <v>873166</v>
      </c>
      <c r="C14" s="159"/>
      <c r="D14" s="159">
        <v>16114</v>
      </c>
      <c r="E14" s="151">
        <v>39809</v>
      </c>
      <c r="F14" s="104">
        <v>88763</v>
      </c>
      <c r="G14" s="151">
        <v>78508</v>
      </c>
      <c r="H14" s="104">
        <v>173507</v>
      </c>
      <c r="I14" s="151"/>
      <c r="J14" s="104"/>
      <c r="K14" s="151"/>
      <c r="L14" s="104"/>
      <c r="M14" s="151"/>
      <c r="N14" s="104"/>
      <c r="O14" s="151"/>
      <c r="P14" s="152"/>
      <c r="Q14" s="151"/>
      <c r="R14" s="152"/>
      <c r="S14" s="153"/>
      <c r="T14" s="153"/>
      <c r="U14" s="151"/>
      <c r="V14" s="104"/>
      <c r="W14" s="151"/>
    </row>
    <row r="15" spans="1:23" s="155" customFormat="1" ht="15.75" customHeight="1" x14ac:dyDescent="0.3">
      <c r="A15" s="107" t="s">
        <v>8</v>
      </c>
      <c r="B15" s="159"/>
      <c r="C15" s="159"/>
      <c r="D15" s="159">
        <v>15705</v>
      </c>
      <c r="E15" s="151"/>
      <c r="F15" s="104">
        <v>6628</v>
      </c>
      <c r="G15" s="151">
        <v>43387</v>
      </c>
      <c r="H15" s="104">
        <v>33941</v>
      </c>
      <c r="I15" s="151">
        <v>46314</v>
      </c>
      <c r="J15" s="104"/>
      <c r="K15" s="151"/>
      <c r="L15" s="104"/>
      <c r="M15" s="151"/>
      <c r="N15" s="104"/>
      <c r="O15" s="151"/>
      <c r="P15" s="152"/>
      <c r="Q15" s="151"/>
      <c r="R15" s="152"/>
      <c r="S15" s="153"/>
      <c r="T15" s="153"/>
      <c r="U15" s="151"/>
      <c r="V15" s="104"/>
      <c r="W15" s="151"/>
    </row>
    <row r="16" spans="1:23" s="155" customFormat="1" x14ac:dyDescent="0.3">
      <c r="A16" s="107" t="s">
        <v>9</v>
      </c>
      <c r="B16" s="159"/>
      <c r="C16" s="159"/>
      <c r="D16" s="159"/>
      <c r="E16" s="151"/>
      <c r="F16" s="104"/>
      <c r="G16" s="151"/>
      <c r="H16" s="104"/>
      <c r="I16" s="154"/>
      <c r="J16" s="104"/>
      <c r="K16" s="154"/>
      <c r="L16" s="104"/>
      <c r="M16" s="151"/>
      <c r="N16" s="104"/>
      <c r="O16" s="151"/>
      <c r="P16" s="152"/>
      <c r="Q16" s="151"/>
      <c r="R16" s="152"/>
      <c r="S16" s="153"/>
      <c r="T16" s="153"/>
      <c r="U16" s="151"/>
      <c r="V16" s="104"/>
      <c r="W16" s="151"/>
    </row>
    <row r="17" spans="1:23" s="155" customFormat="1" x14ac:dyDescent="0.3">
      <c r="A17" s="107" t="s">
        <v>10</v>
      </c>
      <c r="B17" s="159">
        <v>1309363</v>
      </c>
      <c r="C17" s="159">
        <v>1290127</v>
      </c>
      <c r="D17" s="159">
        <v>2547897</v>
      </c>
      <c r="E17" s="151">
        <v>972993</v>
      </c>
      <c r="F17" s="104">
        <v>125750</v>
      </c>
      <c r="G17" s="151">
        <v>1073672</v>
      </c>
      <c r="H17" s="104">
        <v>1033247</v>
      </c>
      <c r="I17" s="154">
        <v>1814481</v>
      </c>
      <c r="J17" s="104"/>
      <c r="K17" s="151"/>
      <c r="L17" s="104">
        <v>170767</v>
      </c>
      <c r="M17" s="151"/>
      <c r="N17" s="104"/>
      <c r="O17" s="151"/>
      <c r="P17" s="152"/>
      <c r="Q17" s="151"/>
      <c r="R17" s="152"/>
      <c r="S17" s="153"/>
      <c r="T17" s="153"/>
      <c r="U17" s="151"/>
      <c r="V17" s="104"/>
      <c r="W17" s="151"/>
    </row>
    <row r="18" spans="1:23" s="155" customFormat="1" x14ac:dyDescent="0.3">
      <c r="A18" s="107" t="s">
        <v>11</v>
      </c>
      <c r="B18" s="104">
        <f>SUM(B9:B17)</f>
        <v>3498709</v>
      </c>
      <c r="C18" s="104">
        <f t="shared" ref="C18:O18" si="0">SUM(C9:C17)</f>
        <v>2318497</v>
      </c>
      <c r="D18" s="104">
        <f t="shared" si="0"/>
        <v>3948396</v>
      </c>
      <c r="E18" s="104">
        <f t="shared" si="0"/>
        <v>1324092</v>
      </c>
      <c r="F18" s="104">
        <f t="shared" si="0"/>
        <v>4710670</v>
      </c>
      <c r="G18" s="104">
        <f t="shared" si="0"/>
        <v>3436687</v>
      </c>
      <c r="H18" s="104">
        <f t="shared" si="0"/>
        <v>2907183</v>
      </c>
      <c r="I18" s="104">
        <f t="shared" si="0"/>
        <v>2833413</v>
      </c>
      <c r="J18" s="104">
        <f t="shared" si="0"/>
        <v>1054261</v>
      </c>
      <c r="K18" s="104">
        <f t="shared" si="0"/>
        <v>1441918</v>
      </c>
      <c r="L18" s="104">
        <f t="shared" si="0"/>
        <v>170767</v>
      </c>
      <c r="M18" s="104">
        <f t="shared" si="0"/>
        <v>0</v>
      </c>
      <c r="N18" s="104">
        <f t="shared" si="0"/>
        <v>0</v>
      </c>
      <c r="O18" s="104">
        <f t="shared" si="0"/>
        <v>0</v>
      </c>
      <c r="P18" s="104">
        <f t="shared" ref="P18" si="1">SUM(P9:P17)</f>
        <v>0</v>
      </c>
      <c r="Q18" s="104">
        <f>SUM(Q9:Q17)</f>
        <v>0</v>
      </c>
      <c r="R18" s="104">
        <f>SUM(R9:R17)</f>
        <v>0</v>
      </c>
      <c r="S18" s="110">
        <f>SUM(S9:S17)</f>
        <v>0</v>
      </c>
      <c r="T18" s="110">
        <f>SUM(T9:T17)</f>
        <v>0</v>
      </c>
      <c r="U18" s="104">
        <f t="shared" ref="U18:W18" si="2">SUM(U9:U17)</f>
        <v>0</v>
      </c>
      <c r="V18" s="104">
        <f t="shared" si="2"/>
        <v>0</v>
      </c>
      <c r="W18" s="104">
        <f t="shared" si="2"/>
        <v>0</v>
      </c>
    </row>
    <row r="19" spans="1:23" s="155" customFormat="1" x14ac:dyDescent="0.3">
      <c r="A19" s="107"/>
      <c r="B19" s="104"/>
      <c r="C19" s="104"/>
      <c r="D19" s="104"/>
      <c r="E19" s="104"/>
      <c r="F19" s="151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10"/>
      <c r="T19" s="110"/>
      <c r="U19" s="104"/>
      <c r="V19" s="104"/>
      <c r="W19" s="104"/>
    </row>
    <row r="20" spans="1:23" s="156" customFormat="1" x14ac:dyDescent="0.3">
      <c r="A20" s="107" t="s">
        <v>12</v>
      </c>
      <c r="B20" s="104">
        <f t="shared" ref="B20:O20" si="3">B18-B7</f>
        <v>-568</v>
      </c>
      <c r="C20" s="104">
        <f t="shared" si="3"/>
        <v>16</v>
      </c>
      <c r="D20" s="104">
        <f t="shared" si="3"/>
        <v>-91605</v>
      </c>
      <c r="E20" s="104">
        <f t="shared" si="3"/>
        <v>4</v>
      </c>
      <c r="F20" s="104">
        <f t="shared" si="3"/>
        <v>-6</v>
      </c>
      <c r="G20" s="104">
        <f t="shared" si="3"/>
        <v>-4641</v>
      </c>
      <c r="H20" s="104">
        <f t="shared" si="3"/>
        <v>1</v>
      </c>
      <c r="I20" s="104">
        <f t="shared" si="3"/>
        <v>5</v>
      </c>
      <c r="J20" s="104">
        <f t="shared" si="3"/>
        <v>1</v>
      </c>
      <c r="K20" s="104">
        <f t="shared" si="3"/>
        <v>0</v>
      </c>
      <c r="L20" s="104">
        <f t="shared" si="3"/>
        <v>0</v>
      </c>
      <c r="M20" s="104">
        <f t="shared" si="3"/>
        <v>0</v>
      </c>
      <c r="N20" s="104">
        <f t="shared" si="3"/>
        <v>0</v>
      </c>
      <c r="O20" s="104">
        <f t="shared" si="3"/>
        <v>0</v>
      </c>
      <c r="P20" s="104">
        <f t="shared" ref="P20" si="4">P18-P7</f>
        <v>0</v>
      </c>
      <c r="Q20" s="104">
        <f>Q18-Q7</f>
        <v>0</v>
      </c>
      <c r="R20" s="104">
        <f>R18-R7</f>
        <v>0</v>
      </c>
      <c r="S20" s="104">
        <f>S18-S7</f>
        <v>0</v>
      </c>
      <c r="T20" s="104">
        <f>T18-T7</f>
        <v>0</v>
      </c>
      <c r="U20" s="104">
        <f t="shared" ref="U20:W20" si="5">U18-U7</f>
        <v>0</v>
      </c>
      <c r="V20" s="104">
        <f t="shared" si="5"/>
        <v>0</v>
      </c>
      <c r="W20" s="104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72" t="s">
        <v>47</v>
      </c>
      <c r="N22" s="172"/>
      <c r="O22" s="172"/>
      <c r="P22" s="172"/>
      <c r="Q22" s="172"/>
      <c r="R22" s="172"/>
      <c r="S22" s="172"/>
      <c r="T22" s="172"/>
      <c r="U22" s="172"/>
    </row>
    <row r="23" spans="1:23" ht="16.2" thickBot="1" x14ac:dyDescent="0.35">
      <c r="D23" s="6"/>
      <c r="J23"/>
      <c r="L23"/>
      <c r="M23" s="14" t="s">
        <v>13</v>
      </c>
      <c r="N23" s="179" t="s">
        <v>108</v>
      </c>
      <c r="O23" s="180"/>
      <c r="P23" s="180"/>
      <c r="Q23" s="180"/>
      <c r="R23" s="180"/>
      <c r="S23" s="181"/>
      <c r="T23" s="113" t="s">
        <v>37</v>
      </c>
      <c r="U23" s="100">
        <v>181</v>
      </c>
      <c r="W23" s="86" t="s">
        <v>43</v>
      </c>
    </row>
    <row r="24" spans="1:23" ht="16.2" thickBot="1" x14ac:dyDescent="0.35">
      <c r="B24" s="2"/>
      <c r="C24" s="18"/>
      <c r="J24"/>
      <c r="K24" s="15"/>
      <c r="L24"/>
      <c r="M24" s="16"/>
      <c r="N24" s="182" t="s">
        <v>48</v>
      </c>
      <c r="O24" s="183"/>
      <c r="P24" s="183"/>
      <c r="Q24" s="183"/>
      <c r="R24" s="183"/>
      <c r="S24" s="184"/>
      <c r="T24" s="102" t="s">
        <v>11</v>
      </c>
      <c r="U24" s="101">
        <v>27741386</v>
      </c>
      <c r="W24" s="112">
        <v>181</v>
      </c>
    </row>
    <row r="25" spans="1:23" x14ac:dyDescent="0.3">
      <c r="B25" s="2"/>
      <c r="C25" s="98"/>
      <c r="D25" s="3" t="s">
        <v>15</v>
      </c>
      <c r="E25" s="4"/>
      <c r="J25"/>
      <c r="L25"/>
      <c r="M25" s="160" t="s">
        <v>16</v>
      </c>
      <c r="N25" s="161"/>
      <c r="O25" s="142"/>
      <c r="P25" s="143"/>
      <c r="Q25" s="139">
        <v>9781000</v>
      </c>
      <c r="R25" s="140"/>
      <c r="S25" s="141"/>
      <c r="T25" s="185" t="s">
        <v>17</v>
      </c>
      <c r="U25" s="186"/>
      <c r="V25" s="13"/>
      <c r="W25" s="77" t="s">
        <v>44</v>
      </c>
    </row>
    <row r="26" spans="1:23" x14ac:dyDescent="0.3">
      <c r="E26" s="4"/>
      <c r="J26"/>
      <c r="L26"/>
      <c r="M26" s="74" t="s">
        <v>52</v>
      </c>
      <c r="N26" s="75"/>
      <c r="O26" s="120"/>
      <c r="P26" s="121"/>
      <c r="Q26" s="164">
        <v>20870</v>
      </c>
      <c r="R26" s="165"/>
      <c r="S26" s="166"/>
      <c r="T26" s="118"/>
      <c r="U26" s="119"/>
      <c r="V26" s="13"/>
      <c r="W26" s="77"/>
    </row>
    <row r="27" spans="1:23" x14ac:dyDescent="0.3">
      <c r="I27" s="103" t="str">
        <f>B1</f>
        <v>Ricardo</v>
      </c>
      <c r="J27" s="130">
        <f>B9</f>
        <v>1315000</v>
      </c>
      <c r="L27"/>
      <c r="M27" s="74" t="s">
        <v>18</v>
      </c>
      <c r="N27" s="75"/>
      <c r="O27" s="162"/>
      <c r="P27" s="171"/>
      <c r="Q27" s="164"/>
      <c r="R27" s="165"/>
      <c r="S27" s="166"/>
      <c r="T27" s="177" t="s">
        <v>19</v>
      </c>
      <c r="U27" s="178"/>
      <c r="V27" s="19"/>
      <c r="W27" s="87">
        <v>27741386</v>
      </c>
    </row>
    <row r="28" spans="1:23" x14ac:dyDescent="0.3">
      <c r="I28" s="103" t="str">
        <f>C1</f>
        <v>JORGE</v>
      </c>
      <c r="J28" s="130">
        <f>C9</f>
        <v>1028000</v>
      </c>
      <c r="L28"/>
      <c r="M28" s="169" t="s">
        <v>20</v>
      </c>
      <c r="N28" s="170"/>
      <c r="O28" s="162"/>
      <c r="P28" s="171"/>
      <c r="Q28" s="164">
        <v>1560711</v>
      </c>
      <c r="R28" s="165"/>
      <c r="S28" s="166"/>
      <c r="T28" s="175" t="s">
        <v>38</v>
      </c>
      <c r="U28" s="176"/>
      <c r="V28" s="21"/>
      <c r="W28" s="13"/>
    </row>
    <row r="29" spans="1:23" x14ac:dyDescent="0.3">
      <c r="I29" s="103" t="str">
        <f>D1</f>
        <v>CRISTIAN</v>
      </c>
      <c r="J29" s="130">
        <f>D9</f>
        <v>1365000</v>
      </c>
      <c r="K29" s="24"/>
      <c r="L29"/>
      <c r="M29" s="169" t="s">
        <v>21</v>
      </c>
      <c r="N29" s="170"/>
      <c r="O29" s="162"/>
      <c r="P29" s="171"/>
      <c r="Q29" s="164">
        <v>4527873</v>
      </c>
      <c r="R29" s="165"/>
      <c r="S29" s="166"/>
      <c r="T29" s="173" t="s">
        <v>39</v>
      </c>
      <c r="U29" s="174"/>
      <c r="W29" s="88">
        <f>U23</f>
        <v>181</v>
      </c>
    </row>
    <row r="30" spans="1:23" x14ac:dyDescent="0.3">
      <c r="A30" s="1"/>
      <c r="I30" s="103" t="str">
        <f>E1</f>
        <v>Bernal</v>
      </c>
      <c r="J30" s="130">
        <f>E9</f>
        <v>310000</v>
      </c>
      <c r="L30"/>
      <c r="M30" s="169" t="s">
        <v>22</v>
      </c>
      <c r="N30" s="170"/>
      <c r="O30" s="162"/>
      <c r="P30" s="163"/>
      <c r="Q30" s="164">
        <v>1269867</v>
      </c>
      <c r="R30" s="165"/>
      <c r="S30" s="166"/>
      <c r="T30" s="167" t="s">
        <v>40</v>
      </c>
      <c r="U30" s="168"/>
      <c r="V30" s="24"/>
      <c r="W30" s="21">
        <f>Q34</f>
        <v>27644214</v>
      </c>
    </row>
    <row r="31" spans="1:23" x14ac:dyDescent="0.3">
      <c r="A31" s="1"/>
      <c r="I31" s="103" t="str">
        <f>F1</f>
        <v>Marco</v>
      </c>
      <c r="J31" s="130">
        <f>F9</f>
        <v>1913000</v>
      </c>
      <c r="L31"/>
      <c r="M31" s="169" t="s">
        <v>23</v>
      </c>
      <c r="N31" s="170"/>
      <c r="O31" s="162"/>
      <c r="P31" s="171"/>
      <c r="Q31" s="164">
        <v>145975</v>
      </c>
      <c r="R31" s="165"/>
      <c r="S31" s="166"/>
      <c r="T31" s="28"/>
      <c r="U31" s="26"/>
    </row>
    <row r="32" spans="1:23" x14ac:dyDescent="0.3">
      <c r="A32" s="1"/>
      <c r="I32" s="103" t="str">
        <f>G1</f>
        <v>CRISTOFER</v>
      </c>
      <c r="J32" s="130">
        <f>G9</f>
        <v>2234000</v>
      </c>
      <c r="L32"/>
      <c r="M32" s="169" t="s">
        <v>24</v>
      </c>
      <c r="N32" s="170"/>
      <c r="O32" s="162"/>
      <c r="P32" s="171"/>
      <c r="Q32" s="164"/>
      <c r="R32" s="165"/>
      <c r="S32" s="166"/>
      <c r="T32" s="28"/>
      <c r="U32" s="26"/>
      <c r="W32" s="77" t="s">
        <v>45</v>
      </c>
    </row>
    <row r="33" spans="1:23" x14ac:dyDescent="0.3">
      <c r="A33" s="1"/>
      <c r="I33" s="103" t="str">
        <f>H1</f>
        <v>Juan G.</v>
      </c>
      <c r="J33" s="130">
        <f>H9</f>
        <v>1024000</v>
      </c>
      <c r="L33"/>
      <c r="M33" s="74" t="s">
        <v>25</v>
      </c>
      <c r="N33" s="76"/>
      <c r="O33" s="162"/>
      <c r="P33" s="171"/>
      <c r="Q33" s="164">
        <v>10338297</v>
      </c>
      <c r="R33" s="165"/>
      <c r="S33" s="166"/>
      <c r="T33" s="28"/>
      <c r="U33" s="26"/>
      <c r="W33" s="111">
        <f>W30-W27</f>
        <v>-97172</v>
      </c>
    </row>
    <row r="34" spans="1:23" ht="15" thickBot="1" x14ac:dyDescent="0.35">
      <c r="A34" s="1"/>
      <c r="I34" s="103" t="str">
        <f>I1</f>
        <v>Pedro</v>
      </c>
      <c r="J34" s="130">
        <f>I9</f>
        <v>0</v>
      </c>
      <c r="L34" s="8"/>
      <c r="M34" s="191" t="s">
        <v>26</v>
      </c>
      <c r="N34" s="192"/>
      <c r="O34" s="193"/>
      <c r="P34" s="194"/>
      <c r="Q34" s="164">
        <v>27644214</v>
      </c>
      <c r="R34" s="165"/>
      <c r="S34" s="166"/>
      <c r="T34" s="30"/>
      <c r="U34" s="29"/>
      <c r="V34" s="1"/>
      <c r="W34" s="24"/>
    </row>
    <row r="35" spans="1:23" ht="15" thickBot="1" x14ac:dyDescent="0.35">
      <c r="A35" s="1"/>
      <c r="D35" s="31"/>
      <c r="I35" s="41" t="str">
        <f>J1</f>
        <v>PEDRO</v>
      </c>
      <c r="J35" s="27">
        <f>J9</f>
        <v>592000</v>
      </c>
      <c r="L35"/>
      <c r="M35" s="195" t="s">
        <v>27</v>
      </c>
      <c r="N35" s="196"/>
      <c r="O35" s="197"/>
      <c r="P35" s="189" t="s">
        <v>28</v>
      </c>
      <c r="Q35" s="190"/>
      <c r="R35" s="189" t="s">
        <v>29</v>
      </c>
      <c r="S35" s="190"/>
      <c r="T35" s="189" t="s">
        <v>30</v>
      </c>
      <c r="U35" s="190"/>
      <c r="V35" s="1"/>
      <c r="W35" s="1"/>
    </row>
    <row r="36" spans="1:23" ht="15" thickBot="1" x14ac:dyDescent="0.35">
      <c r="B36" s="9"/>
      <c r="I36" s="41" t="str">
        <f>K1</f>
        <v>Pedro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 t="str">
        <f>L$1</f>
        <v>CRISTIAN</v>
      </c>
      <c r="J37" s="27">
        <f>L9</f>
        <v>0</v>
      </c>
      <c r="K37" s="24"/>
      <c r="L37"/>
      <c r="M37" s="37"/>
      <c r="N37" s="38"/>
      <c r="O37" s="39"/>
      <c r="P37" s="145">
        <v>605655</v>
      </c>
      <c r="Q37" s="72">
        <v>635243</v>
      </c>
      <c r="R37" s="147">
        <v>605694</v>
      </c>
      <c r="S37" s="73">
        <v>10126</v>
      </c>
      <c r="T37" s="146"/>
      <c r="U37" s="69"/>
      <c r="V37" s="1"/>
      <c r="W37" s="18" t="s">
        <v>14</v>
      </c>
    </row>
    <row r="38" spans="1:23" x14ac:dyDescent="0.3">
      <c r="A38" s="1"/>
      <c r="I38" s="41" t="s">
        <v>109</v>
      </c>
      <c r="J38" s="27" t="s">
        <v>109</v>
      </c>
      <c r="K38" s="24"/>
      <c r="L38" s="99"/>
      <c r="M38" s="37"/>
      <c r="N38" s="38"/>
      <c r="O38" s="39"/>
      <c r="P38" s="146">
        <v>605656</v>
      </c>
      <c r="Q38" s="62">
        <v>237923</v>
      </c>
      <c r="R38" s="148">
        <v>605693</v>
      </c>
      <c r="S38" s="69">
        <v>5579</v>
      </c>
      <c r="T38" s="146"/>
      <c r="U38" s="64"/>
      <c r="V38" s="1"/>
      <c r="W38" s="1" t="s">
        <v>14</v>
      </c>
    </row>
    <row r="39" spans="1:23" x14ac:dyDescent="0.3">
      <c r="A39" s="1"/>
      <c r="I39" s="41" t="s">
        <v>109</v>
      </c>
      <c r="J39" s="27" t="s">
        <v>109</v>
      </c>
      <c r="K39" s="24"/>
      <c r="L39" s="99"/>
      <c r="M39" s="37"/>
      <c r="N39" s="38"/>
      <c r="O39" s="39"/>
      <c r="P39" s="146">
        <v>605703</v>
      </c>
      <c r="Q39" s="62">
        <v>16114</v>
      </c>
      <c r="R39" s="148">
        <v>605749</v>
      </c>
      <c r="S39" s="69">
        <v>1934</v>
      </c>
      <c r="T39" s="146"/>
      <c r="U39" s="64"/>
      <c r="V39" s="1"/>
      <c r="W39" s="1" t="s">
        <v>14</v>
      </c>
    </row>
    <row r="40" spans="1:23" x14ac:dyDescent="0.3">
      <c r="A40" s="1"/>
      <c r="I40" s="41" t="s">
        <v>109</v>
      </c>
      <c r="J40" s="27" t="s">
        <v>109</v>
      </c>
      <c r="K40" s="24"/>
      <c r="L40" s="99"/>
      <c r="M40" s="37"/>
      <c r="N40" s="38"/>
      <c r="O40" s="39"/>
      <c r="P40" s="146">
        <v>605730</v>
      </c>
      <c r="Q40" s="62">
        <v>39809</v>
      </c>
      <c r="R40" s="148">
        <v>605745</v>
      </c>
      <c r="S40" s="69">
        <v>4694</v>
      </c>
      <c r="T40" s="146"/>
      <c r="U40" s="64"/>
      <c r="V40" s="1"/>
      <c r="W40" s="1" t="s">
        <v>14</v>
      </c>
    </row>
    <row r="41" spans="1:23" x14ac:dyDescent="0.3">
      <c r="A41" s="1"/>
      <c r="I41" s="41" t="s">
        <v>109</v>
      </c>
      <c r="J41" s="27" t="s">
        <v>109</v>
      </c>
      <c r="K41" s="24"/>
      <c r="L41" s="99"/>
      <c r="M41" s="37"/>
      <c r="N41" s="38"/>
      <c r="O41" s="39"/>
      <c r="P41" s="146">
        <v>605734</v>
      </c>
      <c r="Q41" s="62">
        <v>88763</v>
      </c>
      <c r="R41" s="148">
        <v>605762</v>
      </c>
      <c r="S41" s="69">
        <v>13828</v>
      </c>
      <c r="T41" s="146"/>
      <c r="U41" s="64"/>
      <c r="V41" s="1"/>
      <c r="W41" s="1" t="s">
        <v>14</v>
      </c>
    </row>
    <row r="42" spans="1:23" x14ac:dyDescent="0.3">
      <c r="A42" s="1"/>
      <c r="I42" s="41" t="s">
        <v>109</v>
      </c>
      <c r="J42" s="27" t="s">
        <v>109</v>
      </c>
      <c r="K42" s="24"/>
      <c r="L42" s="99"/>
      <c r="M42" s="37"/>
      <c r="N42" s="38"/>
      <c r="O42" s="39"/>
      <c r="P42" s="146">
        <v>605774</v>
      </c>
      <c r="Q42" s="62">
        <v>13933</v>
      </c>
      <c r="R42" s="148">
        <v>605770</v>
      </c>
      <c r="S42" s="69">
        <v>3891</v>
      </c>
      <c r="T42" s="146"/>
      <c r="U42" s="64"/>
      <c r="V42" s="1"/>
      <c r="W42" s="1" t="s">
        <v>14</v>
      </c>
    </row>
    <row r="43" spans="1:23" x14ac:dyDescent="0.3">
      <c r="A43" s="1"/>
      <c r="I43" s="41" t="s">
        <v>109</v>
      </c>
      <c r="J43" s="27" t="s">
        <v>109</v>
      </c>
      <c r="K43" s="24"/>
      <c r="L43" s="99"/>
      <c r="M43" s="37"/>
      <c r="N43" s="38"/>
      <c r="O43" s="39"/>
      <c r="P43" s="146">
        <v>605782</v>
      </c>
      <c r="Q43" s="62">
        <v>64575</v>
      </c>
      <c r="R43" s="148">
        <v>605780</v>
      </c>
      <c r="S43" s="69">
        <v>6413</v>
      </c>
      <c r="T43" s="146"/>
      <c r="U43" s="64"/>
      <c r="V43" s="1"/>
      <c r="W43" s="1" t="s">
        <v>14</v>
      </c>
    </row>
    <row r="44" spans="1:23" x14ac:dyDescent="0.3">
      <c r="A44" s="1"/>
      <c r="I44" s="41" t="s">
        <v>109</v>
      </c>
      <c r="J44" s="27" t="s">
        <v>109</v>
      </c>
      <c r="K44" s="24"/>
      <c r="L44" s="99"/>
      <c r="M44" s="37"/>
      <c r="N44" s="38"/>
      <c r="O44" s="39"/>
      <c r="P44" s="146">
        <v>605799</v>
      </c>
      <c r="Q44" s="62">
        <v>173507</v>
      </c>
      <c r="R44" s="148">
        <v>605783</v>
      </c>
      <c r="S44" s="69">
        <v>3891</v>
      </c>
      <c r="T44" s="146"/>
      <c r="U44" s="64"/>
      <c r="V44" s="1"/>
      <c r="W44" s="1" t="s">
        <v>14</v>
      </c>
    </row>
    <row r="45" spans="1:23" x14ac:dyDescent="0.3">
      <c r="A45" s="1"/>
      <c r="I45" s="41" t="s">
        <v>109</v>
      </c>
      <c r="J45" s="27" t="s">
        <v>109</v>
      </c>
      <c r="K45" s="24"/>
      <c r="L45" s="99"/>
      <c r="M45" s="37"/>
      <c r="N45" s="38"/>
      <c r="O45" s="39"/>
      <c r="P45" s="146"/>
      <c r="Q45" s="62"/>
      <c r="R45" s="148">
        <v>605772</v>
      </c>
      <c r="S45" s="69">
        <v>15364</v>
      </c>
      <c r="T45" s="146"/>
      <c r="U45" s="64"/>
      <c r="V45" s="1"/>
      <c r="W45" s="1" t="s">
        <v>14</v>
      </c>
    </row>
    <row r="46" spans="1:23" x14ac:dyDescent="0.3">
      <c r="A46" s="1"/>
      <c r="I46" s="41" t="s">
        <v>109</v>
      </c>
      <c r="J46" s="27" t="s">
        <v>109</v>
      </c>
      <c r="K46" s="24"/>
      <c r="L46" s="99"/>
      <c r="M46" s="37"/>
      <c r="N46" s="38"/>
      <c r="O46" s="39"/>
      <c r="P46" s="146"/>
      <c r="Q46" s="62"/>
      <c r="R46" s="148">
        <v>605792</v>
      </c>
      <c r="S46" s="69">
        <v>2641</v>
      </c>
      <c r="T46" s="146"/>
      <c r="U46" s="64"/>
      <c r="V46" s="1"/>
      <c r="W46" s="1" t="s">
        <v>14</v>
      </c>
    </row>
    <row r="47" spans="1:23" x14ac:dyDescent="0.3">
      <c r="A47" s="1"/>
      <c r="I47" s="41" t="s">
        <v>109</v>
      </c>
      <c r="J47" s="27" t="s">
        <v>109</v>
      </c>
      <c r="K47" s="24"/>
      <c r="L47" s="99"/>
      <c r="M47" s="37"/>
      <c r="N47" s="38"/>
      <c r="O47" s="39"/>
      <c r="P47" s="146"/>
      <c r="Q47" s="62"/>
      <c r="R47" s="148">
        <v>605800</v>
      </c>
      <c r="S47" s="69">
        <v>1320</v>
      </c>
      <c r="T47" s="146"/>
      <c r="U47" s="64"/>
      <c r="V47" s="1"/>
      <c r="W47" s="1" t="s">
        <v>14</v>
      </c>
    </row>
    <row r="48" spans="1:23" x14ac:dyDescent="0.3">
      <c r="A48" s="1"/>
      <c r="I48" s="41" t="s">
        <v>109</v>
      </c>
      <c r="J48" s="27" t="s">
        <v>109</v>
      </c>
      <c r="K48" s="24"/>
      <c r="L48" s="99"/>
      <c r="M48" s="37"/>
      <c r="N48" s="38"/>
      <c r="O48" s="39"/>
      <c r="P48" s="146"/>
      <c r="Q48" s="62"/>
      <c r="R48" s="148">
        <v>605790</v>
      </c>
      <c r="S48" s="69">
        <v>9289</v>
      </c>
      <c r="T48" s="146"/>
      <c r="U48" s="64"/>
      <c r="V48" s="1"/>
      <c r="W48" s="1" t="s">
        <v>14</v>
      </c>
    </row>
    <row r="49" spans="1:23" x14ac:dyDescent="0.3">
      <c r="A49" s="1"/>
      <c r="I49" s="41" t="s">
        <v>109</v>
      </c>
      <c r="J49" s="27" t="s">
        <v>109</v>
      </c>
      <c r="K49" s="24"/>
      <c r="L49" s="99"/>
      <c r="M49" s="37"/>
      <c r="N49" s="38"/>
      <c r="O49" s="39"/>
      <c r="P49" s="146"/>
      <c r="Q49" s="62"/>
      <c r="R49" s="148">
        <v>605816</v>
      </c>
      <c r="S49" s="69">
        <v>6897</v>
      </c>
      <c r="T49" s="146"/>
      <c r="U49" s="64"/>
      <c r="V49" s="1"/>
      <c r="W49" s="1" t="s">
        <v>14</v>
      </c>
    </row>
    <row r="50" spans="1:23" x14ac:dyDescent="0.3">
      <c r="A50" s="1"/>
      <c r="I50" s="41" t="s">
        <v>109</v>
      </c>
      <c r="J50" s="27" t="s">
        <v>109</v>
      </c>
      <c r="K50" s="24"/>
      <c r="L50" s="99"/>
      <c r="M50" s="37"/>
      <c r="N50" s="38"/>
      <c r="O50" s="39"/>
      <c r="P50" s="146"/>
      <c r="Q50" s="62"/>
      <c r="R50" s="148">
        <v>605807</v>
      </c>
      <c r="S50" s="69">
        <v>6897</v>
      </c>
      <c r="T50" s="146"/>
      <c r="U50" s="64"/>
      <c r="V50" s="1"/>
      <c r="W50" s="1" t="s">
        <v>14</v>
      </c>
    </row>
    <row r="51" spans="1:23" x14ac:dyDescent="0.3">
      <c r="A51" s="1"/>
      <c r="I51" s="41" t="s">
        <v>109</v>
      </c>
      <c r="J51" s="27" t="s">
        <v>109</v>
      </c>
      <c r="K51" s="24"/>
      <c r="L51" s="99"/>
      <c r="M51" s="37"/>
      <c r="N51" s="38"/>
      <c r="O51" s="39"/>
      <c r="P51" s="146"/>
      <c r="Q51" s="62"/>
      <c r="R51" s="148">
        <v>605814</v>
      </c>
      <c r="S51" s="69">
        <v>6897</v>
      </c>
      <c r="T51" s="146"/>
      <c r="U51" s="64"/>
      <c r="V51" s="1"/>
      <c r="W51" s="1" t="s">
        <v>14</v>
      </c>
    </row>
    <row r="52" spans="1:23" x14ac:dyDescent="0.3">
      <c r="A52" s="1"/>
      <c r="I52" s="41" t="s">
        <v>109</v>
      </c>
      <c r="J52" s="27" t="s">
        <v>109</v>
      </c>
      <c r="K52" s="24"/>
      <c r="L52" s="99"/>
      <c r="M52" s="37"/>
      <c r="N52" s="38"/>
      <c r="O52" s="39"/>
      <c r="P52" s="146"/>
      <c r="Q52" s="62"/>
      <c r="R52" s="148">
        <v>605820</v>
      </c>
      <c r="S52" s="69">
        <v>6242</v>
      </c>
      <c r="T52" s="146"/>
      <c r="U52" s="64"/>
      <c r="V52" s="1"/>
      <c r="W52" s="1" t="s">
        <v>14</v>
      </c>
    </row>
    <row r="53" spans="1:23" x14ac:dyDescent="0.3">
      <c r="A53" s="1"/>
      <c r="I53" s="41" t="s">
        <v>109</v>
      </c>
      <c r="J53" s="27" t="s">
        <v>109</v>
      </c>
      <c r="K53" s="24"/>
      <c r="L53" s="99"/>
      <c r="M53" s="37"/>
      <c r="N53" s="38"/>
      <c r="O53" s="39"/>
      <c r="P53" s="146"/>
      <c r="Q53" s="62"/>
      <c r="R53" s="148">
        <v>605821</v>
      </c>
      <c r="S53" s="69">
        <v>6272</v>
      </c>
      <c r="T53" s="146"/>
      <c r="U53" s="64"/>
      <c r="V53" s="1"/>
      <c r="W53" s="1" t="s">
        <v>14</v>
      </c>
    </row>
    <row r="54" spans="1:23" x14ac:dyDescent="0.3">
      <c r="A54" s="1"/>
      <c r="I54" s="41" t="s">
        <v>109</v>
      </c>
      <c r="J54" s="27" t="s">
        <v>109</v>
      </c>
      <c r="K54" s="24"/>
      <c r="L54" s="99"/>
      <c r="M54" s="37"/>
      <c r="N54" s="38"/>
      <c r="O54" s="39"/>
      <c r="P54" s="146"/>
      <c r="Q54" s="62"/>
      <c r="R54" s="148">
        <v>605822</v>
      </c>
      <c r="S54" s="69">
        <v>6040</v>
      </c>
      <c r="T54" s="146"/>
      <c r="U54" s="64"/>
      <c r="V54" s="1"/>
      <c r="W54" s="1" t="s">
        <v>14</v>
      </c>
    </row>
    <row r="55" spans="1:23" x14ac:dyDescent="0.3">
      <c r="A55" s="1"/>
      <c r="I55" s="41" t="s">
        <v>109</v>
      </c>
      <c r="J55" s="27" t="s">
        <v>109</v>
      </c>
      <c r="K55" s="24"/>
      <c r="L55" s="99"/>
      <c r="M55" s="37"/>
      <c r="N55" s="38"/>
      <c r="O55" s="39"/>
      <c r="P55" s="146"/>
      <c r="Q55" s="62"/>
      <c r="R55" s="148">
        <v>605824</v>
      </c>
      <c r="S55" s="69">
        <v>27760</v>
      </c>
      <c r="T55" s="146"/>
      <c r="U55" s="64"/>
      <c r="V55" s="1"/>
      <c r="W55" s="1" t="s">
        <v>14</v>
      </c>
    </row>
    <row r="56" spans="1:23" ht="15" thickBot="1" x14ac:dyDescent="0.35">
      <c r="B56" s="20"/>
      <c r="C56" s="32"/>
      <c r="I56" s="41" t="str">
        <f t="shared" ref="I56" si="6">L$1</f>
        <v>CRISTIAN</v>
      </c>
      <c r="J56" s="27">
        <f t="shared" ref="J56" si="7">L10</f>
        <v>0</v>
      </c>
      <c r="L56" s="99"/>
      <c r="M56" s="198" t="s">
        <v>41</v>
      </c>
      <c r="N56" s="199"/>
      <c r="O56" s="144"/>
      <c r="P56" s="146"/>
      <c r="Q56" s="70"/>
      <c r="R56" s="148"/>
      <c r="S56" s="68"/>
      <c r="T56" s="146"/>
      <c r="U56" s="71"/>
      <c r="V56" s="1"/>
      <c r="W56" s="1"/>
    </row>
    <row r="57" spans="1:23" x14ac:dyDescent="0.3">
      <c r="O57" s="39">
        <v>127092</v>
      </c>
    </row>
    <row r="58" spans="1:23" ht="16.5" customHeight="1" x14ac:dyDescent="0.4">
      <c r="O58" s="39">
        <v>972618</v>
      </c>
    </row>
    <row r="59" spans="1:23" ht="15" customHeight="1" x14ac:dyDescent="0.3">
      <c r="O59" s="39">
        <v>368449</v>
      </c>
    </row>
    <row r="60" spans="1:23" ht="15" customHeight="1" x14ac:dyDescent="0.6">
      <c r="O60" s="39">
        <v>92552</v>
      </c>
    </row>
    <row r="61" spans="1:23" ht="15.75" customHeight="1" x14ac:dyDescent="0.6">
      <c r="D61" s="187"/>
      <c r="E61" s="188"/>
    </row>
    <row r="62" spans="1:23" ht="15" customHeight="1" x14ac:dyDescent="0.3">
      <c r="D62" s="187"/>
      <c r="E62" s="188"/>
    </row>
    <row r="63" spans="1:23" x14ac:dyDescent="0.3">
      <c r="D63" s="187"/>
      <c r="E63" s="188"/>
    </row>
    <row r="64" spans="1:23" x14ac:dyDescent="0.3">
      <c r="D64" s="187"/>
      <c r="E64" s="188"/>
      <c r="L64" s="99"/>
      <c r="M64" s="37"/>
      <c r="N64" s="38"/>
      <c r="O64" s="39"/>
      <c r="P64" s="146"/>
      <c r="Q64" s="62"/>
      <c r="R64" s="146"/>
      <c r="S64" s="63"/>
      <c r="T64" s="146"/>
      <c r="U64" s="64"/>
    </row>
    <row r="65" spans="1:21" x14ac:dyDescent="0.3">
      <c r="A65" s="20"/>
      <c r="B65" s="20"/>
      <c r="C65" s="40"/>
      <c r="D65" s="214"/>
      <c r="E65" s="214"/>
      <c r="F65" s="17"/>
      <c r="G65" s="1"/>
      <c r="H65" s="60"/>
      <c r="I65" s="13"/>
      <c r="J65" s="49"/>
      <c r="K65" s="24"/>
      <c r="L65" s="99"/>
      <c r="M65" s="37"/>
      <c r="N65" s="38"/>
      <c r="O65" s="39"/>
      <c r="P65" s="146"/>
      <c r="Q65" s="62"/>
      <c r="R65" s="146"/>
      <c r="S65" s="63"/>
      <c r="T65" s="146"/>
      <c r="U65" s="64"/>
    </row>
    <row r="66" spans="1:21" x14ac:dyDescent="0.3">
      <c r="A66" s="20"/>
      <c r="B66" s="20"/>
      <c r="C66" s="40"/>
      <c r="D66" s="214"/>
      <c r="E66" s="214"/>
      <c r="F66" s="23"/>
      <c r="G66" s="1"/>
      <c r="H66" s="60"/>
      <c r="I66" s="13"/>
      <c r="J66" s="49"/>
      <c r="L66" s="99"/>
      <c r="M66" s="37"/>
      <c r="N66" s="38"/>
      <c r="O66" s="39"/>
      <c r="P66" s="146"/>
      <c r="Q66" s="62"/>
      <c r="R66" s="146"/>
      <c r="S66" s="63"/>
      <c r="T66" s="148"/>
      <c r="U66" s="64"/>
    </row>
    <row r="67" spans="1:21" x14ac:dyDescent="0.3">
      <c r="A67" s="20"/>
      <c r="B67" s="20"/>
      <c r="C67" s="40"/>
      <c r="D67" s="214"/>
      <c r="E67" s="214"/>
      <c r="F67" s="23"/>
      <c r="G67" s="1"/>
      <c r="H67" s="44"/>
      <c r="I67" s="13"/>
      <c r="J67" s="49"/>
      <c r="L67" s="99"/>
      <c r="M67" s="37"/>
      <c r="N67" s="38"/>
      <c r="O67" s="39"/>
      <c r="P67" s="146"/>
      <c r="Q67" s="62"/>
      <c r="R67" s="146"/>
      <c r="S67" s="63"/>
      <c r="T67" s="148"/>
      <c r="U67" s="64"/>
    </row>
    <row r="68" spans="1:21" x14ac:dyDescent="0.3">
      <c r="A68" s="20"/>
      <c r="B68" s="20"/>
      <c r="C68" s="40"/>
      <c r="D68" s="23"/>
      <c r="E68" s="25"/>
      <c r="F68" s="23"/>
      <c r="G68" s="1"/>
      <c r="H68" s="44"/>
      <c r="I68" s="13"/>
      <c r="J68" s="49"/>
      <c r="L68" s="99"/>
      <c r="M68" s="37"/>
      <c r="N68" s="38"/>
      <c r="O68" s="39"/>
      <c r="P68" s="146"/>
      <c r="Q68" s="62"/>
      <c r="R68" s="146"/>
      <c r="S68" s="63"/>
      <c r="T68" s="148"/>
      <c r="U68" s="64"/>
    </row>
    <row r="69" spans="1:21" x14ac:dyDescent="0.3">
      <c r="A69" s="20"/>
      <c r="B69" s="20"/>
      <c r="C69" s="40"/>
      <c r="D69" s="215"/>
      <c r="E69" s="215"/>
      <c r="F69" s="23"/>
      <c r="G69" s="1"/>
      <c r="H69" s="44"/>
      <c r="I69" s="13"/>
      <c r="J69" s="49"/>
      <c r="L69" s="99"/>
      <c r="M69" s="37"/>
      <c r="N69" s="38"/>
      <c r="O69" s="39"/>
      <c r="P69" s="145"/>
      <c r="Q69" s="62"/>
      <c r="R69" s="146"/>
      <c r="S69" s="63"/>
      <c r="T69" s="148"/>
      <c r="U69" s="64"/>
    </row>
    <row r="70" spans="1:21" x14ac:dyDescent="0.3">
      <c r="A70" s="20"/>
      <c r="B70" s="47"/>
      <c r="C70" s="40"/>
      <c r="D70" s="201"/>
      <c r="E70" s="201"/>
      <c r="F70" s="23"/>
      <c r="G70" s="1"/>
      <c r="H70" s="44"/>
      <c r="I70" s="46"/>
      <c r="J70" s="49"/>
      <c r="L70" s="99"/>
      <c r="M70" s="37"/>
      <c r="N70" s="38"/>
      <c r="O70" s="39"/>
      <c r="P70" s="145"/>
      <c r="Q70" s="62"/>
      <c r="R70" s="146"/>
      <c r="S70" s="63"/>
      <c r="T70" s="148"/>
      <c r="U70" s="64"/>
    </row>
    <row r="71" spans="1:21" x14ac:dyDescent="0.3">
      <c r="A71" s="25"/>
      <c r="B71" s="47"/>
      <c r="C71" s="40"/>
      <c r="D71" s="200"/>
      <c r="E71" s="200"/>
      <c r="F71" s="23"/>
      <c r="G71" s="1"/>
      <c r="H71" s="44"/>
      <c r="I71" s="46"/>
      <c r="J71" s="49"/>
      <c r="L71" s="18"/>
      <c r="M71" s="37"/>
      <c r="N71" s="38"/>
      <c r="O71" s="39"/>
      <c r="P71" s="146"/>
      <c r="Q71" s="62"/>
      <c r="R71" s="146"/>
      <c r="S71" s="63"/>
      <c r="T71" s="148"/>
      <c r="U71" s="64"/>
    </row>
    <row r="72" spans="1:21" x14ac:dyDescent="0.3">
      <c r="A72" s="20"/>
      <c r="B72" s="47"/>
      <c r="C72" s="40"/>
      <c r="D72" s="200"/>
      <c r="E72" s="200"/>
      <c r="F72" s="23"/>
      <c r="G72" s="1"/>
      <c r="H72" s="44"/>
      <c r="I72" s="46"/>
      <c r="J72" s="49"/>
      <c r="L72" s="18"/>
      <c r="M72" s="37"/>
      <c r="N72" s="38"/>
      <c r="O72" s="39"/>
      <c r="P72" s="146"/>
      <c r="Q72" s="62"/>
      <c r="R72" s="146"/>
      <c r="S72" s="63"/>
      <c r="T72" s="148"/>
      <c r="U72" s="64"/>
    </row>
    <row r="73" spans="1:21" x14ac:dyDescent="0.3">
      <c r="A73" s="20"/>
      <c r="B73" s="47"/>
      <c r="C73" s="40"/>
      <c r="D73" s="22"/>
      <c r="E73" s="22"/>
      <c r="F73" s="23"/>
      <c r="G73" s="1"/>
      <c r="H73" s="44"/>
      <c r="I73" s="46"/>
      <c r="J73" s="49"/>
      <c r="L73" s="18"/>
      <c r="M73" s="37"/>
      <c r="N73" s="38"/>
      <c r="O73" s="39"/>
      <c r="P73" s="146"/>
      <c r="Q73" s="62"/>
      <c r="R73" s="146"/>
      <c r="S73" s="63"/>
      <c r="T73" s="148"/>
      <c r="U73" s="64"/>
    </row>
    <row r="74" spans="1:21" x14ac:dyDescent="0.3">
      <c r="A74" s="20"/>
      <c r="B74"/>
      <c r="C74" s="40"/>
      <c r="D74" s="22"/>
      <c r="E74" s="22"/>
      <c r="F74" s="23"/>
      <c r="G74" s="1"/>
      <c r="H74" s="44"/>
      <c r="I74" s="46"/>
      <c r="J74" s="49"/>
      <c r="L74" s="18"/>
      <c r="M74" s="37"/>
      <c r="N74" s="38"/>
      <c r="O74" s="39"/>
      <c r="P74" s="146"/>
      <c r="Q74" s="62"/>
      <c r="R74" s="146"/>
      <c r="S74" s="63"/>
      <c r="T74" s="148"/>
      <c r="U74" s="64"/>
    </row>
    <row r="75" spans="1:21" x14ac:dyDescent="0.3">
      <c r="A75" s="20"/>
      <c r="B75"/>
      <c r="C75" s="40"/>
      <c r="D75" s="22"/>
      <c r="E75" s="22"/>
      <c r="F75" s="23"/>
      <c r="G75" s="1"/>
      <c r="H75" s="44"/>
      <c r="I75" s="46"/>
      <c r="J75" s="49"/>
      <c r="L75" s="18"/>
      <c r="M75" s="37"/>
      <c r="N75" s="38"/>
      <c r="O75" s="39"/>
      <c r="P75" s="146"/>
      <c r="Q75" s="62"/>
      <c r="R75" s="146"/>
      <c r="S75" s="63"/>
      <c r="T75" s="148"/>
      <c r="U75" s="64"/>
    </row>
    <row r="76" spans="1:21" x14ac:dyDescent="0.3">
      <c r="A76" s="20"/>
      <c r="B76"/>
      <c r="C76" s="40"/>
      <c r="D76" s="22"/>
      <c r="E76" s="22"/>
      <c r="F76" s="23"/>
      <c r="G76" s="1"/>
      <c r="H76" s="44"/>
      <c r="I76" s="46"/>
      <c r="J76" s="49"/>
      <c r="L76" s="18"/>
      <c r="M76" s="37"/>
      <c r="N76" s="38"/>
      <c r="O76" s="39"/>
      <c r="P76" s="146"/>
      <c r="Q76" s="62"/>
      <c r="R76" s="146"/>
      <c r="S76" s="63"/>
      <c r="T76" s="148"/>
      <c r="U76" s="64"/>
    </row>
    <row r="77" spans="1:21" x14ac:dyDescent="0.3">
      <c r="A77" s="20"/>
      <c r="B77"/>
      <c r="C77" s="40"/>
      <c r="D77" s="22"/>
      <c r="E77" s="22"/>
      <c r="F77" s="23"/>
      <c r="G77" s="1"/>
      <c r="H77" s="44"/>
      <c r="I77" s="46"/>
      <c r="J77" s="49"/>
      <c r="L77" s="18"/>
      <c r="M77" s="37"/>
      <c r="N77" s="38"/>
      <c r="O77" s="39"/>
      <c r="P77" s="146"/>
      <c r="Q77" s="62"/>
      <c r="R77" s="146"/>
      <c r="S77" s="63"/>
      <c r="T77" s="148"/>
      <c r="U77" s="64"/>
    </row>
    <row r="78" spans="1:21" x14ac:dyDescent="0.3">
      <c r="A78" s="25"/>
      <c r="B78"/>
      <c r="C78" s="40"/>
      <c r="D78" s="200"/>
      <c r="E78" s="200"/>
      <c r="F78" s="23"/>
      <c r="G78" s="1"/>
      <c r="H78" s="44"/>
      <c r="I78" s="46"/>
      <c r="J78" s="49"/>
      <c r="L78" s="18"/>
      <c r="M78" s="37"/>
      <c r="N78" s="38"/>
      <c r="O78" s="39"/>
      <c r="P78" s="146"/>
      <c r="Q78" s="62"/>
      <c r="R78" s="146"/>
      <c r="S78" s="63"/>
      <c r="T78" s="148"/>
      <c r="U78" s="64"/>
    </row>
    <row r="79" spans="1:21" x14ac:dyDescent="0.3">
      <c r="A79" s="25"/>
      <c r="B79"/>
      <c r="C79" s="40"/>
      <c r="D79" s="22"/>
      <c r="E79" s="22"/>
      <c r="F79" s="23"/>
      <c r="G79" s="1"/>
      <c r="H79" s="44"/>
      <c r="I79" s="46"/>
      <c r="J79" s="49"/>
      <c r="L79" s="18"/>
      <c r="M79" s="37"/>
      <c r="N79" s="38"/>
      <c r="O79" s="39"/>
      <c r="P79" s="146"/>
      <c r="Q79" s="129"/>
      <c r="R79" s="149"/>
      <c r="S79" s="83"/>
      <c r="T79" s="148"/>
      <c r="U79" s="64"/>
    </row>
    <row r="80" spans="1:21" x14ac:dyDescent="0.3">
      <c r="A80" s="25"/>
      <c r="B80"/>
      <c r="C80" s="40"/>
      <c r="D80" s="22"/>
      <c r="E80" s="22"/>
      <c r="F80" s="23"/>
      <c r="G80" s="1"/>
      <c r="H80" s="44"/>
      <c r="I80" s="46"/>
      <c r="J80" s="49"/>
      <c r="L80" s="18"/>
      <c r="M80" s="37"/>
      <c r="N80" s="38"/>
      <c r="O80" s="39"/>
      <c r="P80" s="146"/>
      <c r="Q80" s="129"/>
      <c r="R80" s="149"/>
      <c r="S80" s="83"/>
      <c r="T80" s="148"/>
      <c r="U80" s="64"/>
    </row>
    <row r="81" spans="1:23" x14ac:dyDescent="0.3">
      <c r="A81" s="25"/>
      <c r="B81"/>
      <c r="C81" s="40"/>
      <c r="D81" s="22"/>
      <c r="E81" s="22"/>
      <c r="F81" s="23"/>
      <c r="G81" s="1"/>
      <c r="H81" s="44"/>
      <c r="I81" s="46"/>
      <c r="J81" s="49"/>
      <c r="L81" s="18"/>
      <c r="M81" s="37"/>
      <c r="N81" s="38"/>
      <c r="O81" s="39"/>
      <c r="P81" s="146"/>
      <c r="Q81" s="129"/>
      <c r="R81" s="149"/>
      <c r="S81" s="83"/>
      <c r="T81" s="148"/>
      <c r="U81" s="64"/>
    </row>
    <row r="82" spans="1:23" ht="15" thickBot="1" x14ac:dyDescent="0.35">
      <c r="A82" s="25"/>
      <c r="B82"/>
      <c r="C82" s="40"/>
      <c r="D82" s="200"/>
      <c r="E82" s="200"/>
      <c r="F82" s="23"/>
      <c r="G82" s="1"/>
      <c r="H82" s="44"/>
      <c r="I82" s="46"/>
      <c r="J82" s="49"/>
      <c r="L82" s="18"/>
      <c r="M82" s="37"/>
      <c r="N82" s="38"/>
      <c r="O82" s="39"/>
      <c r="P82" s="146"/>
      <c r="Q82" s="79"/>
      <c r="R82" s="149"/>
      <c r="S82" s="83"/>
      <c r="T82" s="148"/>
      <c r="U82" s="67"/>
    </row>
    <row r="83" spans="1:23" ht="16.5" customHeight="1" thickBot="1" x14ac:dyDescent="0.35">
      <c r="A83" s="25"/>
      <c r="B83"/>
      <c r="C83" s="40"/>
      <c r="D83" s="200"/>
      <c r="E83" s="200"/>
      <c r="F83" s="20"/>
      <c r="G83" s="1"/>
      <c r="H83" s="44"/>
      <c r="I83" s="46"/>
      <c r="J83" s="49"/>
      <c r="L83"/>
      <c r="M83" s="198" t="s">
        <v>34</v>
      </c>
      <c r="N83" s="213"/>
      <c r="O83" s="42">
        <v>1560711</v>
      </c>
      <c r="P83" s="48" t="s">
        <v>11</v>
      </c>
      <c r="Q83" s="42">
        <v>396701</v>
      </c>
      <c r="R83" s="48" t="s">
        <v>11</v>
      </c>
      <c r="S83" s="42">
        <v>1019141</v>
      </c>
      <c r="T83" s="48" t="s">
        <v>11</v>
      </c>
      <c r="U83" s="42"/>
    </row>
    <row r="84" spans="1:23" ht="15" thickBot="1" x14ac:dyDescent="0.35">
      <c r="A84" s="25"/>
      <c r="B84"/>
      <c r="C84" s="85"/>
      <c r="D84" s="200"/>
      <c r="E84" s="200"/>
      <c r="F84" s="23"/>
      <c r="G84" s="1"/>
      <c r="H84" s="44"/>
      <c r="I84" s="46"/>
      <c r="J84"/>
      <c r="L84"/>
      <c r="M84" s="50"/>
      <c r="N84" s="51"/>
      <c r="O84" s="66"/>
      <c r="P84" s="23"/>
      <c r="Q84" s="65"/>
      <c r="R84" s="66"/>
      <c r="S84" s="66"/>
      <c r="T84" s="6"/>
    </row>
    <row r="85" spans="1:23" ht="16.2" thickBot="1" x14ac:dyDescent="0.35">
      <c r="A85" s="25"/>
      <c r="B85"/>
      <c r="C85" s="25"/>
      <c r="D85" s="22"/>
      <c r="E85" s="22"/>
      <c r="F85" s="23"/>
      <c r="G85" s="1"/>
      <c r="H85" s="44"/>
      <c r="I85" s="46"/>
      <c r="J85"/>
      <c r="L85"/>
      <c r="M85" s="189" t="s">
        <v>46</v>
      </c>
      <c r="N85" s="203"/>
      <c r="O85" s="190"/>
      <c r="P85" s="204"/>
      <c r="Q85" s="205"/>
      <c r="R85" s="189" t="s">
        <v>36</v>
      </c>
      <c r="S85" s="203"/>
      <c r="T85" s="206">
        <f>Q25</f>
        <v>9781000</v>
      </c>
      <c r="U85" s="207"/>
    </row>
    <row r="86" spans="1:23" ht="15.75" customHeight="1" thickBot="1" x14ac:dyDescent="0.35">
      <c r="A86" s="25"/>
      <c r="B86"/>
      <c r="C86" s="25"/>
      <c r="D86" s="200"/>
      <c r="E86" s="200"/>
      <c r="F86" s="59"/>
      <c r="G86" s="1"/>
      <c r="H86" s="44"/>
      <c r="I86" s="46"/>
      <c r="J86"/>
      <c r="L86"/>
      <c r="M86" s="52"/>
      <c r="N86" s="78"/>
      <c r="O86" s="78"/>
      <c r="P86" s="53"/>
      <c r="Q86" s="54"/>
      <c r="R86" s="54"/>
      <c r="S86" s="54"/>
      <c r="T86" s="52"/>
      <c r="U86" s="52"/>
    </row>
    <row r="87" spans="1:23" ht="15.75" customHeight="1" thickBot="1" x14ac:dyDescent="0.35">
      <c r="A87" s="25"/>
      <c r="B87" s="85"/>
      <c r="C87" s="25"/>
      <c r="D87" s="200"/>
      <c r="E87" s="200"/>
      <c r="F87" s="59"/>
      <c r="G87" s="1"/>
      <c r="H87" s="44"/>
      <c r="I87" s="46"/>
      <c r="J87"/>
      <c r="L87"/>
      <c r="M87" s="198" t="s">
        <v>35</v>
      </c>
      <c r="N87" s="199"/>
      <c r="O87" s="199"/>
      <c r="P87" s="199"/>
      <c r="Q87" s="199"/>
      <c r="R87" s="199"/>
      <c r="S87" s="199"/>
      <c r="T87" s="199"/>
      <c r="U87" s="202"/>
      <c r="V87" s="47"/>
    </row>
    <row r="88" spans="1:23" ht="15" thickBot="1" x14ac:dyDescent="0.35">
      <c r="A88" s="25"/>
      <c r="B88" s="20"/>
      <c r="C88" s="25"/>
      <c r="D88" s="200"/>
      <c r="E88" s="200"/>
      <c r="F88" s="59"/>
      <c r="G88" s="1"/>
      <c r="H88" s="44"/>
      <c r="I88" s="46"/>
      <c r="J88"/>
      <c r="L88" s="45" t="s">
        <v>58</v>
      </c>
      <c r="M88" s="124" t="s">
        <v>54</v>
      </c>
      <c r="N88" s="125"/>
      <c r="O88" s="125"/>
      <c r="P88" s="125" t="s">
        <v>55</v>
      </c>
      <c r="Q88" s="125"/>
      <c r="R88" s="125"/>
      <c r="S88" s="125"/>
      <c r="T88" s="125" t="s">
        <v>56</v>
      </c>
      <c r="U88" s="126" t="s">
        <v>59</v>
      </c>
      <c r="V88" s="138" t="s">
        <v>57</v>
      </c>
      <c r="W88" s="138" t="s">
        <v>49</v>
      </c>
    </row>
    <row r="89" spans="1:23" ht="15.6" x14ac:dyDescent="0.3">
      <c r="A89" s="25"/>
      <c r="B89" s="109"/>
      <c r="C89" s="25"/>
      <c r="D89" s="200"/>
      <c r="E89" s="200"/>
      <c r="F89" s="59"/>
      <c r="G89" s="1"/>
      <c r="H89" s="44"/>
      <c r="I89" s="46"/>
      <c r="J89" s="23"/>
      <c r="L89" t="s">
        <v>101</v>
      </c>
      <c r="M89" s="55" t="s">
        <v>110</v>
      </c>
      <c r="N89" s="56"/>
      <c r="O89" s="137" t="s">
        <v>42</v>
      </c>
      <c r="P89" s="58" t="s">
        <v>111</v>
      </c>
      <c r="Q89" s="57"/>
      <c r="R89" s="212" t="s">
        <v>6</v>
      </c>
      <c r="S89" s="212"/>
      <c r="T89" s="127">
        <v>1209230</v>
      </c>
      <c r="U89" s="128"/>
      <c r="V89" s="47" t="s">
        <v>112</v>
      </c>
    </row>
    <row r="90" spans="1:23" x14ac:dyDescent="0.3">
      <c r="A90" s="25"/>
      <c r="B90" s="109"/>
      <c r="C90" s="25"/>
      <c r="D90" s="22"/>
      <c r="E90" s="22"/>
      <c r="F90" s="59"/>
      <c r="G90" s="1"/>
      <c r="H90" s="44"/>
      <c r="I90" s="46"/>
      <c r="J90" s="23"/>
      <c r="L90" t="s">
        <v>101</v>
      </c>
      <c r="M90" s="55" t="s">
        <v>113</v>
      </c>
      <c r="N90" s="56"/>
      <c r="O90" s="137" t="s">
        <v>42</v>
      </c>
      <c r="P90" s="58" t="s">
        <v>114</v>
      </c>
      <c r="Q90" s="57"/>
      <c r="R90" s="212" t="s">
        <v>6</v>
      </c>
      <c r="S90" s="212"/>
      <c r="T90" s="127">
        <v>1237147</v>
      </c>
      <c r="U90" s="128"/>
      <c r="V90" s="47" t="s">
        <v>112</v>
      </c>
    </row>
    <row r="91" spans="1:23" x14ac:dyDescent="0.3">
      <c r="A91" s="25"/>
      <c r="B91" s="109"/>
      <c r="C91" s="25"/>
      <c r="D91" s="22"/>
      <c r="E91" s="22"/>
      <c r="F91" s="59"/>
      <c r="G91" s="1"/>
      <c r="H91" s="44"/>
      <c r="I91" s="46"/>
      <c r="J91" s="23"/>
      <c r="L91" t="s">
        <v>103</v>
      </c>
      <c r="M91" s="55" t="s">
        <v>115</v>
      </c>
      <c r="N91" s="56"/>
      <c r="O91" s="137" t="s">
        <v>42</v>
      </c>
      <c r="P91" s="58" t="s">
        <v>116</v>
      </c>
      <c r="Q91" s="57"/>
      <c r="R91" s="212" t="s">
        <v>6</v>
      </c>
      <c r="S91" s="212"/>
      <c r="T91" s="127">
        <v>639578</v>
      </c>
      <c r="U91" s="128"/>
      <c r="V91" s="47" t="s">
        <v>117</v>
      </c>
    </row>
    <row r="92" spans="1:23" x14ac:dyDescent="0.3">
      <c r="A92" s="25"/>
      <c r="B92" s="109"/>
      <c r="C92" s="25"/>
      <c r="D92" s="22"/>
      <c r="E92" s="22"/>
      <c r="F92" s="59"/>
      <c r="G92" s="1"/>
      <c r="H92" s="44"/>
      <c r="I92" s="46"/>
      <c r="J92" s="23"/>
      <c r="L92" t="s">
        <v>106</v>
      </c>
      <c r="M92" s="55" t="s">
        <v>118</v>
      </c>
      <c r="N92" s="56"/>
      <c r="O92" s="137" t="s">
        <v>42</v>
      </c>
      <c r="P92" s="58" t="s">
        <v>119</v>
      </c>
      <c r="Q92" s="57"/>
      <c r="R92" s="212" t="s">
        <v>6</v>
      </c>
      <c r="S92" s="212"/>
      <c r="T92" s="127">
        <v>1441918</v>
      </c>
      <c r="U92" s="128"/>
      <c r="V92" s="47" t="s">
        <v>120</v>
      </c>
    </row>
    <row r="93" spans="1:23" ht="15.6" x14ac:dyDescent="0.3">
      <c r="B93" s="47"/>
      <c r="C93" s="84"/>
      <c r="D93" s="200"/>
      <c r="E93" s="200"/>
      <c r="F93" s="59"/>
      <c r="I93" s="109"/>
      <c r="L93"/>
      <c r="M93" s="80"/>
      <c r="N93" s="81"/>
      <c r="O93" s="18"/>
      <c r="P93" s="82"/>
      <c r="Q93" s="52"/>
      <c r="R93" s="210"/>
      <c r="S93" s="210"/>
      <c r="T93" s="61"/>
      <c r="U93" s="90"/>
      <c r="V93" s="47"/>
    </row>
    <row r="94" spans="1:23" ht="15.6" x14ac:dyDescent="0.3">
      <c r="A94" s="45"/>
      <c r="B94" s="84"/>
      <c r="C94" s="84"/>
      <c r="D94" s="23"/>
      <c r="E94" s="25"/>
      <c r="F94" s="59"/>
      <c r="I94" s="109"/>
      <c r="L94" s="43" t="s">
        <v>97</v>
      </c>
      <c r="M94" s="80" t="s">
        <v>121</v>
      </c>
      <c r="N94" s="81"/>
      <c r="O94" s="18" t="s">
        <v>42</v>
      </c>
      <c r="P94" s="82" t="s">
        <v>122</v>
      </c>
      <c r="Q94" s="52"/>
      <c r="R94" s="210" t="s">
        <v>10</v>
      </c>
      <c r="S94" s="210"/>
      <c r="T94" s="61">
        <v>120360</v>
      </c>
      <c r="U94" s="90" t="s">
        <v>123</v>
      </c>
      <c r="V94" s="47"/>
    </row>
    <row r="95" spans="1:23" ht="15.6" x14ac:dyDescent="0.3">
      <c r="L95" s="43" t="s">
        <v>97</v>
      </c>
      <c r="M95" s="80" t="s">
        <v>124</v>
      </c>
      <c r="N95" s="81"/>
      <c r="O95" s="117"/>
      <c r="P95" s="82" t="s">
        <v>125</v>
      </c>
      <c r="Q95" s="52"/>
      <c r="R95" s="210" t="s">
        <v>10</v>
      </c>
      <c r="S95" s="210"/>
      <c r="T95" s="61">
        <v>208130</v>
      </c>
      <c r="U95" s="90" t="s">
        <v>123</v>
      </c>
      <c r="V95" s="47"/>
    </row>
    <row r="96" spans="1:23" ht="15.6" x14ac:dyDescent="0.3">
      <c r="L96" s="43" t="s">
        <v>97</v>
      </c>
      <c r="M96" s="80" t="s">
        <v>126</v>
      </c>
      <c r="N96" s="81"/>
      <c r="O96" s="117"/>
      <c r="P96" s="82" t="s">
        <v>127</v>
      </c>
      <c r="Q96" s="52"/>
      <c r="R96" s="210" t="s">
        <v>10</v>
      </c>
      <c r="S96" s="210"/>
      <c r="T96" s="61">
        <v>53114</v>
      </c>
      <c r="U96" s="90" t="s">
        <v>128</v>
      </c>
      <c r="V96" s="47"/>
    </row>
    <row r="97" spans="12:22" ht="15.6" x14ac:dyDescent="0.3">
      <c r="L97" s="43" t="s">
        <v>97</v>
      </c>
      <c r="M97" s="80" t="s">
        <v>129</v>
      </c>
      <c r="N97" s="81"/>
      <c r="O97" s="117"/>
      <c r="P97" s="82" t="s">
        <v>130</v>
      </c>
      <c r="Q97" s="52"/>
      <c r="R97" s="210" t="s">
        <v>10</v>
      </c>
      <c r="S97" s="210"/>
      <c r="T97" s="61">
        <v>175620</v>
      </c>
      <c r="U97" s="90" t="s">
        <v>123</v>
      </c>
      <c r="V97" s="47"/>
    </row>
    <row r="98" spans="12:22" ht="15.6" x14ac:dyDescent="0.3">
      <c r="L98" s="43" t="s">
        <v>97</v>
      </c>
      <c r="M98" s="80" t="s">
        <v>131</v>
      </c>
      <c r="N98" s="81"/>
      <c r="O98" s="117"/>
      <c r="P98" s="82" t="s">
        <v>132</v>
      </c>
      <c r="Q98" s="52"/>
      <c r="R98" s="210" t="s">
        <v>10</v>
      </c>
      <c r="S98" s="210"/>
      <c r="T98" s="61">
        <v>187780</v>
      </c>
      <c r="U98" s="90" t="s">
        <v>123</v>
      </c>
      <c r="V98" s="47"/>
    </row>
    <row r="99" spans="12:22" ht="15.6" x14ac:dyDescent="0.3">
      <c r="L99" s="43" t="s">
        <v>97</v>
      </c>
      <c r="M99" s="80" t="s">
        <v>133</v>
      </c>
      <c r="N99" s="81"/>
      <c r="O99" s="117"/>
      <c r="P99" s="82" t="s">
        <v>134</v>
      </c>
      <c r="Q99" s="52"/>
      <c r="R99" s="210" t="s">
        <v>10</v>
      </c>
      <c r="S99" s="210"/>
      <c r="T99" s="61">
        <v>420209</v>
      </c>
      <c r="U99" s="90" t="s">
        <v>128</v>
      </c>
      <c r="V99" s="47"/>
    </row>
    <row r="100" spans="12:22" ht="15.6" x14ac:dyDescent="0.3">
      <c r="L100" s="43" t="s">
        <v>97</v>
      </c>
      <c r="M100" s="80" t="s">
        <v>135</v>
      </c>
      <c r="N100" s="81"/>
      <c r="O100" s="117"/>
      <c r="P100" s="82" t="s">
        <v>136</v>
      </c>
      <c r="Q100" s="52"/>
      <c r="R100" s="210" t="s">
        <v>10</v>
      </c>
      <c r="S100" s="210"/>
      <c r="T100" s="61">
        <v>144150</v>
      </c>
      <c r="U100" s="90" t="s">
        <v>123</v>
      </c>
      <c r="V100" s="47"/>
    </row>
    <row r="101" spans="12:22" ht="15.6" x14ac:dyDescent="0.3">
      <c r="L101" s="43" t="s">
        <v>98</v>
      </c>
      <c r="M101" s="80" t="s">
        <v>137</v>
      </c>
      <c r="N101" s="81"/>
      <c r="O101" s="117"/>
      <c r="P101" s="82" t="s">
        <v>138</v>
      </c>
      <c r="Q101" s="52"/>
      <c r="R101" s="210" t="s">
        <v>10</v>
      </c>
      <c r="S101" s="210"/>
      <c r="T101" s="61">
        <v>155450</v>
      </c>
      <c r="U101" s="90" t="s">
        <v>123</v>
      </c>
      <c r="V101" s="47"/>
    </row>
    <row r="102" spans="12:22" ht="15.6" x14ac:dyDescent="0.3">
      <c r="L102" s="43" t="s">
        <v>98</v>
      </c>
      <c r="M102" s="80" t="s">
        <v>139</v>
      </c>
      <c r="N102" s="81"/>
      <c r="O102" s="117"/>
      <c r="P102" s="82" t="s">
        <v>140</v>
      </c>
      <c r="Q102" s="52"/>
      <c r="R102" s="210" t="s">
        <v>10</v>
      </c>
      <c r="S102" s="210"/>
      <c r="T102" s="61">
        <v>100000</v>
      </c>
      <c r="U102" s="90" t="s">
        <v>128</v>
      </c>
      <c r="V102" s="47"/>
    </row>
    <row r="103" spans="12:22" ht="15.6" x14ac:dyDescent="0.3">
      <c r="L103" s="43" t="s">
        <v>98</v>
      </c>
      <c r="M103" s="80" t="s">
        <v>141</v>
      </c>
      <c r="N103" s="81"/>
      <c r="O103" s="117"/>
      <c r="P103" s="82" t="s">
        <v>142</v>
      </c>
      <c r="Q103" s="52"/>
      <c r="R103" s="210" t="s">
        <v>10</v>
      </c>
      <c r="S103" s="210"/>
      <c r="T103" s="61">
        <v>168661</v>
      </c>
      <c r="U103" s="90" t="s">
        <v>143</v>
      </c>
      <c r="V103" s="47"/>
    </row>
    <row r="104" spans="12:22" ht="15.6" x14ac:dyDescent="0.3">
      <c r="L104" s="43" t="s">
        <v>98</v>
      </c>
      <c r="M104" s="80" t="s">
        <v>144</v>
      </c>
      <c r="N104" s="81"/>
      <c r="O104" s="117"/>
      <c r="P104" s="82" t="s">
        <v>145</v>
      </c>
      <c r="Q104" s="52"/>
      <c r="R104" s="210" t="s">
        <v>10</v>
      </c>
      <c r="S104" s="210"/>
      <c r="T104" s="61">
        <v>121460</v>
      </c>
      <c r="U104" s="90" t="s">
        <v>128</v>
      </c>
      <c r="V104" s="47"/>
    </row>
    <row r="105" spans="12:22" ht="15.6" x14ac:dyDescent="0.3">
      <c r="L105" s="43" t="s">
        <v>98</v>
      </c>
      <c r="M105" s="80" t="s">
        <v>146</v>
      </c>
      <c r="N105" s="81"/>
      <c r="O105" s="117"/>
      <c r="P105" s="82" t="s">
        <v>147</v>
      </c>
      <c r="Q105" s="52"/>
      <c r="R105" s="210" t="s">
        <v>10</v>
      </c>
      <c r="S105" s="210"/>
      <c r="T105" s="61">
        <v>186436</v>
      </c>
      <c r="U105" s="90" t="s">
        <v>143</v>
      </c>
      <c r="V105" s="47"/>
    </row>
    <row r="106" spans="12:22" ht="15.6" x14ac:dyDescent="0.3">
      <c r="L106" s="43" t="s">
        <v>98</v>
      </c>
      <c r="M106" s="80" t="s">
        <v>148</v>
      </c>
      <c r="N106" s="81"/>
      <c r="O106" s="117"/>
      <c r="P106" s="82" t="s">
        <v>149</v>
      </c>
      <c r="Q106" s="52"/>
      <c r="R106" s="210" t="s">
        <v>10</v>
      </c>
      <c r="S106" s="210"/>
      <c r="T106" s="61">
        <v>87603</v>
      </c>
      <c r="U106" s="90" t="s">
        <v>128</v>
      </c>
      <c r="V106" s="47"/>
    </row>
    <row r="107" spans="12:22" ht="15.6" x14ac:dyDescent="0.3">
      <c r="L107" s="43" t="s">
        <v>98</v>
      </c>
      <c r="M107" s="80" t="s">
        <v>150</v>
      </c>
      <c r="N107" s="81"/>
      <c r="O107" s="117"/>
      <c r="P107" s="82" t="s">
        <v>151</v>
      </c>
      <c r="Q107" s="52"/>
      <c r="R107" s="210" t="s">
        <v>10</v>
      </c>
      <c r="S107" s="210"/>
      <c r="T107" s="61">
        <v>100070</v>
      </c>
      <c r="U107" s="90" t="s">
        <v>123</v>
      </c>
      <c r="V107" s="47"/>
    </row>
    <row r="108" spans="12:22" ht="15.6" x14ac:dyDescent="0.3">
      <c r="L108" s="43" t="s">
        <v>98</v>
      </c>
      <c r="M108" s="80" t="s">
        <v>152</v>
      </c>
      <c r="N108" s="81"/>
      <c r="O108" s="117"/>
      <c r="P108" s="82" t="s">
        <v>153</v>
      </c>
      <c r="Q108" s="52"/>
      <c r="R108" s="210" t="s">
        <v>10</v>
      </c>
      <c r="S108" s="210"/>
      <c r="T108" s="61">
        <v>127300</v>
      </c>
      <c r="U108" s="90" t="s">
        <v>128</v>
      </c>
      <c r="V108" s="47"/>
    </row>
    <row r="109" spans="12:22" ht="15.6" x14ac:dyDescent="0.3">
      <c r="L109" s="43" t="s">
        <v>98</v>
      </c>
      <c r="M109" s="80" t="s">
        <v>154</v>
      </c>
      <c r="N109" s="81"/>
      <c r="O109" s="117"/>
      <c r="P109" s="82" t="s">
        <v>155</v>
      </c>
      <c r="Q109" s="52"/>
      <c r="R109" s="210" t="s">
        <v>10</v>
      </c>
      <c r="S109" s="210"/>
      <c r="T109" s="61">
        <v>243147</v>
      </c>
      <c r="U109" s="90" t="s">
        <v>143</v>
      </c>
      <c r="V109" s="47"/>
    </row>
    <row r="110" spans="12:22" ht="15.6" x14ac:dyDescent="0.3">
      <c r="L110" s="43" t="s">
        <v>99</v>
      </c>
      <c r="M110" s="80" t="s">
        <v>156</v>
      </c>
      <c r="N110" s="81"/>
      <c r="O110" s="117"/>
      <c r="P110" s="82" t="s">
        <v>157</v>
      </c>
      <c r="Q110" s="52"/>
      <c r="R110" s="210" t="s">
        <v>10</v>
      </c>
      <c r="S110" s="210"/>
      <c r="T110" s="61">
        <v>15180</v>
      </c>
      <c r="U110" s="90"/>
      <c r="V110" s="47"/>
    </row>
    <row r="111" spans="12:22" ht="15.6" x14ac:dyDescent="0.3">
      <c r="L111" s="43" t="s">
        <v>99</v>
      </c>
      <c r="M111" s="80" t="s">
        <v>158</v>
      </c>
      <c r="N111" s="81"/>
      <c r="O111" s="117"/>
      <c r="P111" s="82" t="s">
        <v>159</v>
      </c>
      <c r="Q111" s="52"/>
      <c r="R111" s="210" t="s">
        <v>10</v>
      </c>
      <c r="S111" s="210"/>
      <c r="T111" s="61">
        <v>49816</v>
      </c>
      <c r="U111" s="90"/>
      <c r="V111" s="47"/>
    </row>
    <row r="112" spans="12:22" ht="15.6" x14ac:dyDescent="0.3">
      <c r="L112" s="43" t="s">
        <v>99</v>
      </c>
      <c r="M112" s="80" t="s">
        <v>160</v>
      </c>
      <c r="N112" s="81"/>
      <c r="O112" s="117"/>
      <c r="P112" s="82" t="s">
        <v>161</v>
      </c>
      <c r="Q112" s="52"/>
      <c r="R112" s="210" t="s">
        <v>10</v>
      </c>
      <c r="S112" s="210"/>
      <c r="T112" s="61">
        <v>849074</v>
      </c>
      <c r="U112" s="90" t="s">
        <v>128</v>
      </c>
      <c r="V112" s="47"/>
    </row>
    <row r="113" spans="12:22" ht="15.6" x14ac:dyDescent="0.3">
      <c r="L113" s="43" t="s">
        <v>99</v>
      </c>
      <c r="M113" s="80" t="s">
        <v>162</v>
      </c>
      <c r="N113" s="81"/>
      <c r="O113" s="117"/>
      <c r="P113" s="82" t="s">
        <v>163</v>
      </c>
      <c r="Q113" s="52"/>
      <c r="R113" s="210" t="s">
        <v>10</v>
      </c>
      <c r="S113" s="210"/>
      <c r="T113" s="61">
        <v>36896</v>
      </c>
      <c r="U113" s="90"/>
      <c r="V113" s="47"/>
    </row>
    <row r="114" spans="12:22" ht="15.6" x14ac:dyDescent="0.3">
      <c r="L114" s="43" t="s">
        <v>99</v>
      </c>
      <c r="M114" s="80" t="s">
        <v>164</v>
      </c>
      <c r="N114" s="81"/>
      <c r="O114" s="117"/>
      <c r="P114" s="82" t="s">
        <v>165</v>
      </c>
      <c r="Q114" s="52"/>
      <c r="R114" s="210" t="s">
        <v>10</v>
      </c>
      <c r="S114" s="210"/>
      <c r="T114" s="61">
        <v>1596931</v>
      </c>
      <c r="U114" s="90"/>
      <c r="V114" s="47"/>
    </row>
    <row r="115" spans="12:22" ht="15.6" x14ac:dyDescent="0.3">
      <c r="L115" s="43" t="s">
        <v>100</v>
      </c>
      <c r="M115" s="80" t="s">
        <v>166</v>
      </c>
      <c r="N115" s="81"/>
      <c r="O115" s="117"/>
      <c r="P115" s="82" t="s">
        <v>167</v>
      </c>
      <c r="Q115" s="52"/>
      <c r="R115" s="210" t="s">
        <v>10</v>
      </c>
      <c r="S115" s="210"/>
      <c r="T115" s="61">
        <v>42098</v>
      </c>
      <c r="U115" s="90" t="s">
        <v>128</v>
      </c>
      <c r="V115" s="47"/>
    </row>
    <row r="116" spans="12:22" ht="15.6" x14ac:dyDescent="0.3">
      <c r="L116" s="43" t="s">
        <v>100</v>
      </c>
      <c r="M116" s="80" t="s">
        <v>168</v>
      </c>
      <c r="N116" s="81"/>
      <c r="O116" s="117"/>
      <c r="P116" s="82" t="s">
        <v>169</v>
      </c>
      <c r="Q116" s="52"/>
      <c r="R116" s="210" t="s">
        <v>10</v>
      </c>
      <c r="S116" s="210"/>
      <c r="T116" s="61">
        <v>43560</v>
      </c>
      <c r="U116" s="90" t="s">
        <v>128</v>
      </c>
      <c r="V116" s="47"/>
    </row>
    <row r="117" spans="12:22" ht="15.6" x14ac:dyDescent="0.3">
      <c r="L117" s="43" t="s">
        <v>100</v>
      </c>
      <c r="M117" s="80" t="s">
        <v>170</v>
      </c>
      <c r="N117" s="81"/>
      <c r="O117" s="117"/>
      <c r="P117" s="82" t="s">
        <v>171</v>
      </c>
      <c r="Q117" s="52"/>
      <c r="R117" s="210" t="s">
        <v>10</v>
      </c>
      <c r="S117" s="210"/>
      <c r="T117" s="61">
        <v>187850</v>
      </c>
      <c r="U117" s="90" t="s">
        <v>123</v>
      </c>
      <c r="V117" s="47"/>
    </row>
    <row r="118" spans="12:22" ht="15.6" x14ac:dyDescent="0.3">
      <c r="L118" s="43" t="s">
        <v>100</v>
      </c>
      <c r="M118" s="80" t="s">
        <v>172</v>
      </c>
      <c r="N118" s="81"/>
      <c r="O118" s="117"/>
      <c r="P118" s="82" t="s">
        <v>173</v>
      </c>
      <c r="Q118" s="52"/>
      <c r="R118" s="210" t="s">
        <v>10</v>
      </c>
      <c r="S118" s="210"/>
      <c r="T118" s="61">
        <v>34210</v>
      </c>
      <c r="U118" s="90" t="s">
        <v>123</v>
      </c>
      <c r="V118" s="47"/>
    </row>
    <row r="119" spans="12:22" ht="15.6" x14ac:dyDescent="0.3">
      <c r="L119" s="43" t="s">
        <v>100</v>
      </c>
      <c r="M119" s="80" t="s">
        <v>174</v>
      </c>
      <c r="N119" s="81"/>
      <c r="O119" s="117"/>
      <c r="P119" s="82" t="s">
        <v>175</v>
      </c>
      <c r="Q119" s="52"/>
      <c r="R119" s="210" t="s">
        <v>10</v>
      </c>
      <c r="S119" s="210"/>
      <c r="T119" s="61">
        <v>76795</v>
      </c>
      <c r="U119" s="90" t="s">
        <v>128</v>
      </c>
      <c r="V119" s="47"/>
    </row>
    <row r="120" spans="12:22" ht="15.6" x14ac:dyDescent="0.3">
      <c r="L120" s="43" t="s">
        <v>100</v>
      </c>
      <c r="M120" s="80" t="s">
        <v>176</v>
      </c>
      <c r="N120" s="81"/>
      <c r="O120" s="117"/>
      <c r="P120" s="82" t="s">
        <v>177</v>
      </c>
      <c r="Q120" s="52"/>
      <c r="R120" s="210" t="s">
        <v>10</v>
      </c>
      <c r="S120" s="210"/>
      <c r="T120" s="61">
        <v>88525</v>
      </c>
      <c r="U120" s="90" t="s">
        <v>128</v>
      </c>
      <c r="V120" s="47"/>
    </row>
    <row r="121" spans="12:22" ht="15.6" x14ac:dyDescent="0.3">
      <c r="L121" s="43" t="s">
        <v>100</v>
      </c>
      <c r="M121" s="80" t="s">
        <v>178</v>
      </c>
      <c r="N121" s="81"/>
      <c r="O121" s="117"/>
      <c r="P121" s="82" t="s">
        <v>179</v>
      </c>
      <c r="Q121" s="52"/>
      <c r="R121" s="210" t="s">
        <v>10</v>
      </c>
      <c r="S121" s="210"/>
      <c r="T121" s="61">
        <v>96334</v>
      </c>
      <c r="U121" s="90" t="s">
        <v>128</v>
      </c>
      <c r="V121" s="47"/>
    </row>
    <row r="122" spans="12:22" ht="15.6" x14ac:dyDescent="0.3">
      <c r="L122" s="43" t="s">
        <v>100</v>
      </c>
      <c r="M122" s="80" t="s">
        <v>180</v>
      </c>
      <c r="N122" s="81"/>
      <c r="O122" s="117"/>
      <c r="P122" s="82" t="s">
        <v>181</v>
      </c>
      <c r="Q122" s="52"/>
      <c r="R122" s="210" t="s">
        <v>10</v>
      </c>
      <c r="S122" s="210"/>
      <c r="T122" s="61">
        <v>263621</v>
      </c>
      <c r="U122" s="90" t="s">
        <v>128</v>
      </c>
      <c r="V122" s="47"/>
    </row>
    <row r="123" spans="12:22" ht="15.6" x14ac:dyDescent="0.3">
      <c r="L123" s="43" t="s">
        <v>100</v>
      </c>
      <c r="M123" s="80" t="s">
        <v>182</v>
      </c>
      <c r="N123" s="81"/>
      <c r="O123" s="117"/>
      <c r="P123" s="82" t="s">
        <v>183</v>
      </c>
      <c r="Q123" s="52"/>
      <c r="R123" s="210" t="s">
        <v>10</v>
      </c>
      <c r="S123" s="210"/>
      <c r="T123" s="61">
        <v>40000</v>
      </c>
      <c r="U123" s="90" t="s">
        <v>123</v>
      </c>
      <c r="V123" s="47"/>
    </row>
    <row r="124" spans="12:22" ht="15.6" x14ac:dyDescent="0.3">
      <c r="L124" s="43" t="s">
        <v>100</v>
      </c>
      <c r="M124" s="80" t="s">
        <v>184</v>
      </c>
      <c r="N124" s="81"/>
      <c r="O124" s="117"/>
      <c r="P124" s="82"/>
      <c r="Q124" s="52"/>
      <c r="R124" s="210" t="s">
        <v>10</v>
      </c>
      <c r="S124" s="210"/>
      <c r="T124" s="61">
        <v>100000</v>
      </c>
      <c r="U124" s="90"/>
      <c r="V124" s="47"/>
    </row>
    <row r="125" spans="12:22" ht="15.6" x14ac:dyDescent="0.3">
      <c r="L125" s="43" t="s">
        <v>101</v>
      </c>
      <c r="M125" s="80" t="s">
        <v>185</v>
      </c>
      <c r="N125" s="81"/>
      <c r="O125" s="117"/>
      <c r="P125" s="82" t="s">
        <v>186</v>
      </c>
      <c r="Q125" s="52"/>
      <c r="R125" s="210" t="s">
        <v>10</v>
      </c>
      <c r="S125" s="210"/>
      <c r="T125" s="61">
        <v>125750</v>
      </c>
      <c r="U125" s="90" t="s">
        <v>128</v>
      </c>
      <c r="V125" s="47"/>
    </row>
    <row r="126" spans="12:22" ht="15.6" x14ac:dyDescent="0.3">
      <c r="L126" s="43" t="s">
        <v>102</v>
      </c>
      <c r="M126" s="80" t="s">
        <v>187</v>
      </c>
      <c r="N126" s="81"/>
      <c r="O126" s="117"/>
      <c r="P126" s="82" t="s">
        <v>188</v>
      </c>
      <c r="Q126" s="52"/>
      <c r="R126" s="210" t="s">
        <v>10</v>
      </c>
      <c r="S126" s="210"/>
      <c r="T126" s="61">
        <v>204340</v>
      </c>
      <c r="U126" s="90" t="s">
        <v>128</v>
      </c>
      <c r="V126" s="47"/>
    </row>
    <row r="127" spans="12:22" ht="15.6" x14ac:dyDescent="0.3">
      <c r="L127" s="43" t="s">
        <v>102</v>
      </c>
      <c r="M127" s="80" t="s">
        <v>189</v>
      </c>
      <c r="N127" s="81"/>
      <c r="O127" s="117"/>
      <c r="P127" s="82" t="s">
        <v>190</v>
      </c>
      <c r="Q127" s="52"/>
      <c r="R127" s="210" t="s">
        <v>10</v>
      </c>
      <c r="S127" s="210"/>
      <c r="T127" s="61">
        <v>3560</v>
      </c>
      <c r="U127" s="90" t="s">
        <v>123</v>
      </c>
      <c r="V127" s="47"/>
    </row>
    <row r="128" spans="12:22" ht="15.6" x14ac:dyDescent="0.3">
      <c r="L128" s="43" t="s">
        <v>102</v>
      </c>
      <c r="M128" s="80" t="s">
        <v>191</v>
      </c>
      <c r="N128" s="81"/>
      <c r="O128" s="117"/>
      <c r="P128" s="82" t="s">
        <v>192</v>
      </c>
      <c r="Q128" s="52"/>
      <c r="R128" s="210" t="s">
        <v>10</v>
      </c>
      <c r="S128" s="210"/>
      <c r="T128" s="61">
        <v>59590</v>
      </c>
      <c r="U128" s="90" t="s">
        <v>123</v>
      </c>
      <c r="V128" s="47"/>
    </row>
    <row r="129" spans="12:22" ht="15.6" x14ac:dyDescent="0.3">
      <c r="L129" s="43" t="s">
        <v>102</v>
      </c>
      <c r="M129" s="80" t="s">
        <v>193</v>
      </c>
      <c r="N129" s="81"/>
      <c r="O129" s="117"/>
      <c r="P129" s="82" t="s">
        <v>194</v>
      </c>
      <c r="Q129" s="52"/>
      <c r="R129" s="210" t="s">
        <v>10</v>
      </c>
      <c r="S129" s="210"/>
      <c r="T129" s="61">
        <v>190194</v>
      </c>
      <c r="U129" s="90" t="s">
        <v>128</v>
      </c>
      <c r="V129" s="47"/>
    </row>
    <row r="130" spans="12:22" ht="15.6" x14ac:dyDescent="0.3">
      <c r="L130" s="43" t="s">
        <v>102</v>
      </c>
      <c r="M130" s="80" t="s">
        <v>195</v>
      </c>
      <c r="N130" s="81"/>
      <c r="O130" s="117"/>
      <c r="P130" s="82" t="s">
        <v>196</v>
      </c>
      <c r="Q130" s="52"/>
      <c r="R130" s="210" t="s">
        <v>10</v>
      </c>
      <c r="S130" s="210"/>
      <c r="T130" s="61">
        <v>369735</v>
      </c>
      <c r="U130" s="90" t="s">
        <v>128</v>
      </c>
      <c r="V130" s="47"/>
    </row>
    <row r="131" spans="12:22" ht="15.6" x14ac:dyDescent="0.3">
      <c r="L131" s="43" t="s">
        <v>102</v>
      </c>
      <c r="M131" s="80" t="s">
        <v>197</v>
      </c>
      <c r="N131" s="81"/>
      <c r="O131" s="117"/>
      <c r="P131" s="82" t="s">
        <v>198</v>
      </c>
      <c r="Q131" s="52"/>
      <c r="R131" s="210" t="s">
        <v>10</v>
      </c>
      <c r="S131" s="210"/>
      <c r="T131" s="61">
        <v>243253</v>
      </c>
      <c r="U131" s="90" t="s">
        <v>128</v>
      </c>
      <c r="V131" s="47"/>
    </row>
    <row r="132" spans="12:22" ht="15.6" x14ac:dyDescent="0.3">
      <c r="L132" s="43" t="s">
        <v>102</v>
      </c>
      <c r="M132" s="80" t="s">
        <v>199</v>
      </c>
      <c r="N132" s="81"/>
      <c r="O132" s="117"/>
      <c r="P132" s="82" t="s">
        <v>200</v>
      </c>
      <c r="Q132" s="52"/>
      <c r="R132" s="210" t="s">
        <v>10</v>
      </c>
      <c r="S132" s="210"/>
      <c r="T132" s="61">
        <v>3000</v>
      </c>
      <c r="U132" s="90" t="s">
        <v>128</v>
      </c>
      <c r="V132" s="47"/>
    </row>
    <row r="133" spans="12:22" ht="15.6" x14ac:dyDescent="0.3">
      <c r="L133" s="43" t="s">
        <v>103</v>
      </c>
      <c r="M133" s="80" t="s">
        <v>201</v>
      </c>
      <c r="N133" s="81"/>
      <c r="O133" s="117"/>
      <c r="P133" s="82" t="s">
        <v>202</v>
      </c>
      <c r="Q133" s="52"/>
      <c r="R133" s="210" t="s">
        <v>10</v>
      </c>
      <c r="S133" s="210"/>
      <c r="T133" s="61">
        <v>314374</v>
      </c>
      <c r="U133" s="90" t="s">
        <v>143</v>
      </c>
      <c r="V133" s="47"/>
    </row>
    <row r="134" spans="12:22" ht="15.6" x14ac:dyDescent="0.3">
      <c r="L134" s="43" t="s">
        <v>103</v>
      </c>
      <c r="M134" s="80" t="s">
        <v>203</v>
      </c>
      <c r="N134" s="81"/>
      <c r="O134" s="117"/>
      <c r="P134" s="82" t="s">
        <v>204</v>
      </c>
      <c r="Q134" s="52"/>
      <c r="R134" s="210" t="s">
        <v>10</v>
      </c>
      <c r="S134" s="210"/>
      <c r="T134" s="61">
        <v>119302</v>
      </c>
      <c r="U134" s="90" t="s">
        <v>128</v>
      </c>
      <c r="V134" s="47"/>
    </row>
    <row r="135" spans="12:22" ht="15.6" x14ac:dyDescent="0.3">
      <c r="L135" s="43" t="s">
        <v>103</v>
      </c>
      <c r="M135" s="80" t="s">
        <v>205</v>
      </c>
      <c r="N135" s="81"/>
      <c r="O135" s="117"/>
      <c r="P135" s="82" t="s">
        <v>206</v>
      </c>
      <c r="Q135" s="52"/>
      <c r="R135" s="210" t="s">
        <v>10</v>
      </c>
      <c r="S135" s="210"/>
      <c r="T135" s="61">
        <v>55927</v>
      </c>
      <c r="U135" s="90" t="s">
        <v>128</v>
      </c>
      <c r="V135" s="47"/>
    </row>
    <row r="136" spans="12:22" ht="15.6" x14ac:dyDescent="0.3">
      <c r="L136" s="43" t="s">
        <v>103</v>
      </c>
      <c r="M136" s="80" t="s">
        <v>207</v>
      </c>
      <c r="N136" s="81"/>
      <c r="O136" s="117"/>
      <c r="P136" s="82" t="s">
        <v>208</v>
      </c>
      <c r="Q136" s="52"/>
      <c r="R136" s="210" t="s">
        <v>10</v>
      </c>
      <c r="S136" s="210"/>
      <c r="T136" s="61">
        <v>40192</v>
      </c>
      <c r="U136" s="90" t="s">
        <v>128</v>
      </c>
      <c r="V136" s="47"/>
    </row>
    <row r="137" spans="12:22" ht="15.6" x14ac:dyDescent="0.3">
      <c r="L137" s="43" t="s">
        <v>103</v>
      </c>
      <c r="M137" s="80" t="s">
        <v>209</v>
      </c>
      <c r="N137" s="81"/>
      <c r="O137" s="117"/>
      <c r="P137" s="82" t="s">
        <v>210</v>
      </c>
      <c r="Q137" s="52"/>
      <c r="R137" s="210" t="s">
        <v>10</v>
      </c>
      <c r="S137" s="210"/>
      <c r="T137" s="61">
        <v>116420</v>
      </c>
      <c r="U137" s="90" t="s">
        <v>128</v>
      </c>
      <c r="V137" s="47"/>
    </row>
    <row r="138" spans="12:22" ht="15.6" x14ac:dyDescent="0.3">
      <c r="L138" s="43" t="s">
        <v>103</v>
      </c>
      <c r="M138" s="80" t="s">
        <v>211</v>
      </c>
      <c r="N138" s="81"/>
      <c r="O138" s="117"/>
      <c r="P138" s="82" t="s">
        <v>212</v>
      </c>
      <c r="Q138" s="52"/>
      <c r="R138" s="210" t="s">
        <v>10</v>
      </c>
      <c r="S138" s="210"/>
      <c r="T138" s="61">
        <v>211972</v>
      </c>
      <c r="U138" s="90" t="s">
        <v>143</v>
      </c>
      <c r="V138" s="47"/>
    </row>
    <row r="139" spans="12:22" ht="15.6" x14ac:dyDescent="0.3">
      <c r="L139" s="43" t="s">
        <v>103</v>
      </c>
      <c r="M139" s="80" t="s">
        <v>213</v>
      </c>
      <c r="N139" s="81"/>
      <c r="O139" s="117"/>
      <c r="P139" s="82" t="s">
        <v>214</v>
      </c>
      <c r="Q139" s="52"/>
      <c r="R139" s="210" t="s">
        <v>10</v>
      </c>
      <c r="S139" s="210"/>
      <c r="T139" s="61">
        <v>82000</v>
      </c>
      <c r="U139" s="90" t="s">
        <v>128</v>
      </c>
      <c r="V139" s="47"/>
    </row>
    <row r="140" spans="12:22" ht="15.6" x14ac:dyDescent="0.3">
      <c r="L140" s="43" t="s">
        <v>103</v>
      </c>
      <c r="M140" s="80" t="s">
        <v>215</v>
      </c>
      <c r="N140" s="81"/>
      <c r="O140" s="117"/>
      <c r="P140" s="82" t="s">
        <v>216</v>
      </c>
      <c r="Q140" s="52"/>
      <c r="R140" s="210" t="s">
        <v>10</v>
      </c>
      <c r="S140" s="210"/>
      <c r="T140" s="61">
        <v>71900</v>
      </c>
      <c r="U140" s="90" t="s">
        <v>128</v>
      </c>
      <c r="V140" s="47"/>
    </row>
    <row r="141" spans="12:22" ht="15.6" x14ac:dyDescent="0.3">
      <c r="L141" s="43" t="s">
        <v>103</v>
      </c>
      <c r="M141" s="80" t="s">
        <v>217</v>
      </c>
      <c r="N141" s="81"/>
      <c r="O141" s="117"/>
      <c r="P141" s="82" t="s">
        <v>218</v>
      </c>
      <c r="Q141" s="52"/>
      <c r="R141" s="210" t="s">
        <v>10</v>
      </c>
      <c r="S141" s="210"/>
      <c r="T141" s="61">
        <v>21160</v>
      </c>
      <c r="U141" s="90" t="s">
        <v>128</v>
      </c>
      <c r="V141" s="47"/>
    </row>
    <row r="142" spans="12:22" ht="15.6" x14ac:dyDescent="0.3">
      <c r="L142" s="43" t="s">
        <v>104</v>
      </c>
      <c r="M142" s="80" t="s">
        <v>219</v>
      </c>
      <c r="N142" s="81"/>
      <c r="O142" s="117"/>
      <c r="P142" s="82" t="s">
        <v>220</v>
      </c>
      <c r="Q142" s="52"/>
      <c r="R142" s="210" t="s">
        <v>10</v>
      </c>
      <c r="S142" s="210"/>
      <c r="T142" s="61">
        <v>747730</v>
      </c>
      <c r="U142" s="90" t="s">
        <v>123</v>
      </c>
      <c r="V142" s="47"/>
    </row>
    <row r="143" spans="12:22" ht="15.6" x14ac:dyDescent="0.3">
      <c r="L143" s="43" t="s">
        <v>104</v>
      </c>
      <c r="M143" s="80" t="s">
        <v>221</v>
      </c>
      <c r="N143" s="81"/>
      <c r="O143" s="117"/>
      <c r="P143" s="82" t="s">
        <v>222</v>
      </c>
      <c r="Q143" s="52"/>
      <c r="R143" s="210" t="s">
        <v>10</v>
      </c>
      <c r="S143" s="210"/>
      <c r="T143" s="61">
        <v>581557</v>
      </c>
      <c r="U143" s="90" t="s">
        <v>128</v>
      </c>
      <c r="V143" s="47"/>
    </row>
    <row r="144" spans="12:22" ht="15.6" x14ac:dyDescent="0.3">
      <c r="L144" s="43" t="s">
        <v>104</v>
      </c>
      <c r="M144" s="80" t="s">
        <v>223</v>
      </c>
      <c r="N144" s="81"/>
      <c r="O144" s="117"/>
      <c r="P144" s="82" t="s">
        <v>224</v>
      </c>
      <c r="Q144" s="52"/>
      <c r="R144" s="210" t="s">
        <v>10</v>
      </c>
      <c r="S144" s="210"/>
      <c r="T144" s="61">
        <v>485194</v>
      </c>
      <c r="U144" s="90" t="s">
        <v>128</v>
      </c>
      <c r="V144" s="47"/>
    </row>
    <row r="145" spans="12:22" ht="15.6" x14ac:dyDescent="0.3">
      <c r="L145" s="43" t="s">
        <v>107</v>
      </c>
      <c r="M145" s="80" t="s">
        <v>160</v>
      </c>
      <c r="N145" s="81"/>
      <c r="O145" s="117"/>
      <c r="P145" s="82" t="s">
        <v>225</v>
      </c>
      <c r="Q145" s="52"/>
      <c r="R145" s="210" t="s">
        <v>10</v>
      </c>
      <c r="S145" s="210"/>
      <c r="T145" s="61">
        <v>170767</v>
      </c>
      <c r="U145" s="90" t="s">
        <v>128</v>
      </c>
      <c r="V145" s="47"/>
    </row>
    <row r="146" spans="12:22" ht="15.6" x14ac:dyDescent="0.3">
      <c r="L146" s="43"/>
      <c r="M146" s="131" t="s">
        <v>60</v>
      </c>
      <c r="N146" s="132"/>
      <c r="O146" s="133"/>
      <c r="P146" s="134"/>
      <c r="Q146" s="135"/>
      <c r="R146" s="211"/>
      <c r="S146" s="211"/>
      <c r="T146" s="208"/>
      <c r="U146" s="209"/>
      <c r="V146" s="47"/>
    </row>
    <row r="147" spans="12:22" ht="15.6" x14ac:dyDescent="0.3">
      <c r="L147" s="43"/>
      <c r="M147" s="131" t="s">
        <v>61</v>
      </c>
      <c r="N147" s="132"/>
      <c r="O147" s="133"/>
      <c r="P147" s="134"/>
      <c r="Q147" s="135"/>
      <c r="R147" s="136"/>
      <c r="S147" s="136"/>
      <c r="T147" s="208"/>
      <c r="U147" s="209"/>
      <c r="V147" s="47"/>
    </row>
    <row r="148" spans="12:22" ht="16.2" thickBot="1" x14ac:dyDescent="0.35">
      <c r="L148" s="43"/>
      <c r="M148" s="89"/>
      <c r="N148" s="60"/>
      <c r="O148" s="117"/>
      <c r="P148" s="82"/>
      <c r="Q148" s="52"/>
      <c r="R148" s="52"/>
      <c r="S148" s="52"/>
      <c r="T148" s="61"/>
      <c r="U148" s="90"/>
      <c r="V148" s="47"/>
    </row>
    <row r="149" spans="12:22" ht="16.2" thickBot="1" x14ac:dyDescent="0.35">
      <c r="L149" s="43"/>
      <c r="M149" s="96" t="s">
        <v>11</v>
      </c>
      <c r="N149" s="97">
        <f>SUM(N147:N148)</f>
        <v>0</v>
      </c>
      <c r="O149" s="91"/>
      <c r="P149" s="93"/>
      <c r="Q149" s="92"/>
      <c r="R149" s="92"/>
      <c r="S149" s="92"/>
      <c r="T149" s="94"/>
      <c r="U149" s="95"/>
      <c r="V149" s="47"/>
    </row>
    <row r="150" spans="12:22" x14ac:dyDescent="0.3">
      <c r="M150"/>
      <c r="O150" s="5"/>
      <c r="Q150"/>
      <c r="S150"/>
      <c r="T150" s="6"/>
      <c r="V150" s="47"/>
    </row>
    <row r="151" spans="12:22" x14ac:dyDescent="0.3">
      <c r="O151"/>
      <c r="V151" s="47"/>
    </row>
    <row r="152" spans="12:22" x14ac:dyDescent="0.3">
      <c r="M152" s="23"/>
      <c r="N152" s="23"/>
      <c r="O152" s="23"/>
      <c r="P152" s="23"/>
      <c r="Q152" s="23"/>
      <c r="V152" s="47"/>
    </row>
    <row r="153" spans="12:22" x14ac:dyDescent="0.3">
      <c r="V153" s="47"/>
    </row>
    <row r="154" spans="12:22" x14ac:dyDescent="0.3">
      <c r="V154" s="47"/>
    </row>
    <row r="155" spans="12:22" x14ac:dyDescent="0.3">
      <c r="V155" s="47"/>
    </row>
    <row r="156" spans="12:22" x14ac:dyDescent="0.3">
      <c r="V156" s="47"/>
    </row>
    <row r="157" spans="12:22" x14ac:dyDescent="0.3">
      <c r="V157" s="47"/>
    </row>
    <row r="158" spans="12:22" x14ac:dyDescent="0.3">
      <c r="V158" s="47"/>
    </row>
    <row r="159" spans="12:22" x14ac:dyDescent="0.3">
      <c r="V159" s="47"/>
    </row>
    <row r="160" spans="12:22" x14ac:dyDescent="0.3">
      <c r="V160" s="47"/>
    </row>
    <row r="161" spans="22:22" x14ac:dyDescent="0.3">
      <c r="V161" s="47"/>
    </row>
    <row r="162" spans="22:22" x14ac:dyDescent="0.3">
      <c r="V162" s="47"/>
    </row>
    <row r="163" spans="22:22" x14ac:dyDescent="0.3">
      <c r="V163" s="47"/>
    </row>
    <row r="164" spans="22:22" x14ac:dyDescent="0.3">
      <c r="V164" s="47"/>
    </row>
    <row r="165" spans="22:22" x14ac:dyDescent="0.3">
      <c r="V165" s="47"/>
    </row>
    <row r="166" spans="22:22" x14ac:dyDescent="0.3">
      <c r="V166" s="47"/>
    </row>
    <row r="167" spans="22:22" x14ac:dyDescent="0.3">
      <c r="V167" s="47"/>
    </row>
    <row r="168" spans="22:22" x14ac:dyDescent="0.3">
      <c r="V168" s="47"/>
    </row>
    <row r="169" spans="22:22" x14ac:dyDescent="0.3">
      <c r="V169" s="47"/>
    </row>
    <row r="170" spans="22:22" x14ac:dyDescent="0.3">
      <c r="V170" s="47"/>
    </row>
    <row r="171" spans="22:22" x14ac:dyDescent="0.3">
      <c r="V171" s="47"/>
    </row>
    <row r="172" spans="22:22" x14ac:dyDescent="0.3">
      <c r="V172" s="47"/>
    </row>
    <row r="173" spans="22:22" x14ac:dyDescent="0.3">
      <c r="V173" s="47"/>
    </row>
    <row r="174" spans="22:22" x14ac:dyDescent="0.3">
      <c r="V174" s="47"/>
    </row>
    <row r="175" spans="22:22" x14ac:dyDescent="0.3">
      <c r="V175" s="47"/>
    </row>
    <row r="176" spans="22:22" x14ac:dyDescent="0.3">
      <c r="V176" s="47"/>
    </row>
    <row r="177" spans="22:22" x14ac:dyDescent="0.3">
      <c r="V177" s="47"/>
    </row>
    <row r="178" spans="22:22" x14ac:dyDescent="0.3">
      <c r="V178" s="47"/>
    </row>
    <row r="179" spans="22:22" x14ac:dyDescent="0.3">
      <c r="V179" s="47"/>
    </row>
    <row r="180" spans="22:22" x14ac:dyDescent="0.3">
      <c r="V180" s="47"/>
    </row>
    <row r="181" spans="22:22" x14ac:dyDescent="0.3">
      <c r="V181" s="47"/>
    </row>
    <row r="182" spans="22:22" x14ac:dyDescent="0.3">
      <c r="V182" s="47"/>
    </row>
    <row r="183" spans="22:22" x14ac:dyDescent="0.3">
      <c r="V183" s="47"/>
    </row>
  </sheetData>
  <mergeCells count="123">
    <mergeCell ref="R145:S14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D62:E62"/>
    <mergeCell ref="D64:E64"/>
    <mergeCell ref="M83:N83"/>
    <mergeCell ref="D66:E66"/>
    <mergeCell ref="D67:E67"/>
    <mergeCell ref="D65:E65"/>
    <mergeCell ref="D63:E63"/>
    <mergeCell ref="D69:E69"/>
    <mergeCell ref="R90:S90"/>
    <mergeCell ref="T147:U147"/>
    <mergeCell ref="R95:S95"/>
    <mergeCell ref="R146:S146"/>
    <mergeCell ref="R89:S89"/>
    <mergeCell ref="R94:S94"/>
    <mergeCell ref="R93:S93"/>
    <mergeCell ref="T146:U146"/>
    <mergeCell ref="D88:E88"/>
    <mergeCell ref="D87:E87"/>
    <mergeCell ref="R91:S91"/>
    <mergeCell ref="R92:S92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D89:E89"/>
    <mergeCell ref="D93:E93"/>
    <mergeCell ref="D70:E70"/>
    <mergeCell ref="M87:U87"/>
    <mergeCell ref="R85:S85"/>
    <mergeCell ref="D86:E86"/>
    <mergeCell ref="P85:Q85"/>
    <mergeCell ref="T85:U85"/>
    <mergeCell ref="D78:E78"/>
    <mergeCell ref="D84:E84"/>
    <mergeCell ref="D71:E71"/>
    <mergeCell ref="D83:E83"/>
    <mergeCell ref="D72:E72"/>
    <mergeCell ref="D82:E82"/>
    <mergeCell ref="M85:O85"/>
    <mergeCell ref="D61:E61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56:N56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2026-07-02T04:10:19Z</dcterms:modified>
</cp:coreProperties>
</file>